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drawings/drawing4.xml" ContentType="application/vnd.openxmlformats-officedocument.drawing+xml"/>
  <Override PartName="/xl/pivotTables/pivotTable4.xml" ContentType="application/vnd.openxmlformats-officedocument.spreadsheetml.pivotTable+xml"/>
  <Override PartName="/xl/drawings/drawing5.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pivotTables/pivotTable7.xml" ContentType="application/vnd.openxmlformats-officedocument.spreadsheetml.pivotTable+xml"/>
  <Override PartName="/xl/tables/table1.xml" ContentType="application/vnd.openxmlformats-officedocument.spreadsheetml.table+xml"/>
  <Override PartName="/xl/pivotTables/pivotTable8.xml" ContentType="application/vnd.openxmlformats-officedocument.spreadsheetml.pivotTable+xml"/>
  <Override PartName="/xl/drawings/drawing7.xml" ContentType="application/vnd.openxmlformats-officedocument.drawing+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8.xml" ContentType="application/vnd.openxmlformats-officedocument.drawing+xml"/>
  <Override PartName="/xl/pivotTables/pivotTable11.xml" ContentType="application/vnd.openxmlformats-officedocument.spreadsheetml.pivotTable+xml"/>
  <Override PartName="/xl/drawings/drawing9.xml" ContentType="application/vnd.openxmlformats-officedocument.drawing+xml"/>
  <Override PartName="/xl/slicers/slicer1.xml" ContentType="application/vnd.ms-excel.slicer+xml"/>
  <Override PartName="/xl/timelines/timeline1.xml" ContentType="application/vnd.ms-excel.timeline+xml"/>
  <Override PartName="/xl/pivotTables/pivotTable12.xml" ContentType="application/vnd.openxmlformats-officedocument.spreadsheetml.pivotTable+xml"/>
  <Override PartName="/xl/drawings/drawing10.xml" ContentType="application/vnd.openxmlformats-officedocument.drawing+xml"/>
  <Override PartName="/xl/slicers/slicer2.xml" ContentType="application/vnd.ms-excel.slicer+xml"/>
  <Override PartName="/xl/timelines/timeline2.xml" ContentType="application/vnd.ms-excel.timelin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1.xml" ContentType="application/vnd.openxmlformats-officedocument.drawing+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2.xml" ContentType="application/vnd.openxmlformats-officedocument.drawing+xml"/>
  <Override PartName="/xl/pivotTables/pivotTable19.xml" ContentType="application/vnd.openxmlformats-officedocument.spreadsheetml.pivotTable+xml"/>
  <Override PartName="/xl/drawings/drawing13.xml" ContentType="application/vnd.openxmlformats-officedocument.drawing+xml"/>
  <Override PartName="/xl/pivotTables/pivotTable20.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07"/>
  <workbookPr codeName="ThisWorkbook" autoCompressPictures="0"/>
  <mc:AlternateContent xmlns:mc="http://schemas.openxmlformats.org/markup-compatibility/2006">
    <mc:Choice Requires="x15">
      <x15ac:absPath xmlns:x15ac="http://schemas.microsoft.com/office/spreadsheetml/2010/11/ac" url="https://d.docs.live.net/fd1f2f544ef09640/Documents/Training/ExcelBeginnerToIntermediate/Module 8 - PivotTables Part 2/"/>
    </mc:Choice>
  </mc:AlternateContent>
  <xr:revisionPtr revIDLastSave="2877" documentId="11_59886D6D3D7D0D4E02003EA725D4EBE6C683B037" xr6:coauthVersionLast="47" xr6:coauthVersionMax="47" xr10:uidLastSave="{E234D021-0FE3-4668-A951-4C6E899F2E01}"/>
  <bookViews>
    <workbookView xWindow="43080" yWindow="-120" windowWidth="29040" windowHeight="15720" tabRatio="706" firstSheet="10" activeTab="14" xr2:uid="{00000000-000D-0000-FFFF-FFFF00000000}"/>
  </bookViews>
  <sheets>
    <sheet name="IntroductionToPivotTables" sheetId="57" r:id="rId1"/>
    <sheet name="BuildAPivot" sheetId="40" r:id="rId2"/>
    <sheet name="PivotFormatting" sheetId="51" r:id="rId3"/>
    <sheet name="PivotFormatting (3)" sheetId="52" state="hidden" r:id="rId4"/>
    <sheet name="ValueFieldSettings" sheetId="42" r:id="rId5"/>
    <sheet name="UpdateData" sheetId="44" r:id="rId6"/>
    <sheet name="BakerySales" sheetId="36" r:id="rId7"/>
    <sheet name="Bakery Shop" sheetId="35" r:id="rId8"/>
    <sheet name="Bakery Partial" sheetId="43" r:id="rId9"/>
    <sheet name="TotalsAndSubtotals" sheetId="45" r:id="rId10"/>
    <sheet name="MultipleDataPoints" sheetId="47" r:id="rId11"/>
    <sheet name="SlicersAndTimelines" sheetId="48" state="hidden" r:id="rId12"/>
    <sheet name="SlicersAndTimelines_Dashboard" sheetId="53" r:id="rId13"/>
    <sheet name="ConditionalFormatting" sheetId="56" r:id="rId14"/>
    <sheet name="ConditionalFormatting (2)" sheetId="58" r:id="rId15"/>
    <sheet name="TableCalculations" sheetId="55" r:id="rId16"/>
    <sheet name="Menu" sheetId="8" r:id="rId17"/>
    <sheet name="NorthwindTraders" sheetId="37" r:id="rId18"/>
    <sheet name="Sheet9" sheetId="46" r:id="rId19"/>
    <sheet name="Data_ListOfHomes" sheetId="7" r:id="rId20"/>
  </sheets>
  <definedNames>
    <definedName name="NativeTimeline_Order_Date">#N/A</definedName>
    <definedName name="NativeTimeline_Order_Date1">#N/A</definedName>
    <definedName name="Slicer_Customer_Name">#N/A</definedName>
    <definedName name="Slicer_Customer_Name1">#N/A</definedName>
    <definedName name="Slicer_Employee">#N/A</definedName>
    <definedName name="Slicer_Employee1">#N/A</definedName>
    <definedName name="Slicer_State_Province">#N/A</definedName>
    <definedName name="Slicer_State_Province1">#N/A</definedName>
    <definedName name="tNorthwindTraders">NorthwindTraders!$A$1:$N$50</definedName>
  </definedNames>
  <calcPr calcId="191028"/>
  <pivotCaches>
    <pivotCache cacheId="1" r:id="rId21"/>
    <pivotCache cacheId="2" r:id="rId22"/>
    <pivotCache cacheId="3" r:id="rId23"/>
    <pivotCache cacheId="4"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1"/>
        <x15:timelineCacheRef r:id="rId32"/>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E9" i="43" l="1"/>
  <c r="E10" i="43"/>
  <c r="E11" i="43"/>
  <c r="E12" i="43"/>
  <c r="E13" i="43"/>
  <c r="E14" i="43"/>
  <c r="E15" i="43"/>
  <c r="E131" i="43"/>
  <c r="E130" i="43"/>
  <c r="E129" i="43"/>
  <c r="E128" i="43"/>
  <c r="E127" i="43"/>
  <c r="E126" i="43"/>
  <c r="E125" i="43"/>
  <c r="E124" i="43"/>
  <c r="E123" i="43"/>
  <c r="E122" i="43"/>
  <c r="E121" i="43"/>
  <c r="E120" i="43"/>
  <c r="E119" i="43"/>
  <c r="E118" i="43"/>
  <c r="E117" i="43"/>
  <c r="E116" i="43"/>
  <c r="E115" i="43"/>
  <c r="E114" i="43"/>
  <c r="E113" i="43"/>
  <c r="E112" i="43"/>
  <c r="E111" i="43"/>
  <c r="E110" i="43"/>
  <c r="E109" i="43"/>
  <c r="E108" i="43"/>
  <c r="E107" i="43"/>
  <c r="E106" i="43"/>
  <c r="E105" i="43"/>
  <c r="E104" i="43"/>
  <c r="E103" i="43"/>
  <c r="E102" i="43"/>
  <c r="E101" i="43"/>
  <c r="E100" i="43"/>
  <c r="E99" i="43"/>
  <c r="E98" i="43"/>
  <c r="E97" i="43"/>
  <c r="E96" i="43"/>
  <c r="E95" i="43"/>
  <c r="E94" i="43"/>
  <c r="E93" i="43"/>
  <c r="E92" i="43"/>
  <c r="E91" i="43"/>
  <c r="E90" i="43"/>
  <c r="E89" i="43"/>
  <c r="E88" i="43"/>
  <c r="E87" i="43"/>
  <c r="E86" i="43"/>
  <c r="E85" i="43"/>
  <c r="E84" i="43"/>
  <c r="E83" i="43"/>
  <c r="E82" i="43"/>
  <c r="E81" i="43"/>
  <c r="E80" i="43"/>
  <c r="E79" i="43"/>
  <c r="E78" i="43"/>
  <c r="E77" i="43"/>
  <c r="E76" i="43"/>
  <c r="E75" i="43"/>
  <c r="E74" i="43"/>
  <c r="E73" i="43"/>
  <c r="E72"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E36" i="43"/>
  <c r="E35" i="43"/>
  <c r="E34" i="43"/>
  <c r="E33" i="43"/>
  <c r="E32" i="43"/>
  <c r="E31" i="43"/>
  <c r="E30" i="43"/>
  <c r="E29" i="43"/>
  <c r="E28" i="43"/>
  <c r="E27" i="43"/>
  <c r="E26" i="43"/>
  <c r="E25" i="43"/>
  <c r="E24" i="43"/>
  <c r="E23" i="43"/>
  <c r="E22" i="43"/>
  <c r="E21" i="43"/>
  <c r="E20" i="43"/>
  <c r="E8" i="43"/>
  <c r="E7" i="43"/>
  <c r="E6" i="43"/>
  <c r="E5" i="43"/>
  <c r="E4" i="43"/>
  <c r="E3" i="43"/>
  <c r="E2" i="43"/>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5" i="35"/>
  <c r="E4" i="35"/>
  <c r="E3" i="35"/>
  <c r="E2" i="35"/>
</calcChain>
</file>

<file path=xl/sharedStrings.xml><?xml version="1.0" encoding="utf-8"?>
<sst xmlns="http://schemas.openxmlformats.org/spreadsheetml/2006/main" count="5195" uniqueCount="1422">
  <si>
    <t>Location</t>
  </si>
  <si>
    <t>Item</t>
  </si>
  <si>
    <t>Cost per Item</t>
  </si>
  <si>
    <t>Items Sold</t>
  </si>
  <si>
    <t>Day</t>
  </si>
  <si>
    <t>Brooklyn</t>
  </si>
  <si>
    <t>Cakes</t>
  </si>
  <si>
    <t>Cookies</t>
  </si>
  <si>
    <t>Croissants</t>
  </si>
  <si>
    <t>Cupcakes</t>
  </si>
  <si>
    <t>Muffins</t>
  </si>
  <si>
    <t>Pies</t>
  </si>
  <si>
    <t>Whoopie Pies</t>
  </si>
  <si>
    <t>Manhattan</t>
  </si>
  <si>
    <t>Queens</t>
  </si>
  <si>
    <t>StreetAddress</t>
  </si>
  <si>
    <t>City</t>
  </si>
  <si>
    <t>State</t>
  </si>
  <si>
    <t>Zip</t>
  </si>
  <si>
    <t>Bedrooms</t>
  </si>
  <si>
    <t>Bathrooms</t>
  </si>
  <si>
    <t>Price</t>
  </si>
  <si>
    <t>1000 N First St</t>
  </si>
  <si>
    <t>Albemarle</t>
  </si>
  <si>
    <t>NC</t>
  </si>
  <si>
    <t>28001</t>
  </si>
  <si>
    <t>1000 N First St, Suite 4</t>
  </si>
  <si>
    <t>141 College Dr</t>
  </si>
  <si>
    <t>2000 Sterling Dr</t>
  </si>
  <si>
    <t>2100 Sterling Dr</t>
  </si>
  <si>
    <t>625 Bethany Rd</t>
  </si>
  <si>
    <t>100 Belmont-Mount Holly Rd</t>
  </si>
  <si>
    <t>Belmont</t>
  </si>
  <si>
    <t>28012</t>
  </si>
  <si>
    <t>1000 Oaks Pkwy</t>
  </si>
  <si>
    <t>2100 The Oaks Pkwy</t>
  </si>
  <si>
    <t>1111 Oates Rd</t>
  </si>
  <si>
    <t>Bessemer City</t>
  </si>
  <si>
    <t>28016</t>
  </si>
  <si>
    <t>201 Southridge Pkwy</t>
  </si>
  <si>
    <t>108 E College Ave</t>
  </si>
  <si>
    <t>Boiling Springs</t>
  </si>
  <si>
    <t>28017</t>
  </si>
  <si>
    <t>1 Billy Graham Pkwy</t>
  </si>
  <si>
    <t>Charlotte</t>
  </si>
  <si>
    <t>28201</t>
  </si>
  <si>
    <t>100 Beatties Ford Rd</t>
  </si>
  <si>
    <t>28216</t>
  </si>
  <si>
    <t>100 N Tryon St, Suite 220</t>
  </si>
  <si>
    <t>28255</t>
  </si>
  <si>
    <t>100 N Tryon St, Suite 2900</t>
  </si>
  <si>
    <t>28202</t>
  </si>
  <si>
    <t>100 N Tryon St, Suite 3200</t>
  </si>
  <si>
    <t>100 N Tryon St, Suite 3600</t>
  </si>
  <si>
    <t>100 N Tryon St, Suite 3800</t>
  </si>
  <si>
    <t>100 N Tryon St, Suite 4700</t>
  </si>
  <si>
    <t>1000 Amble Dr</t>
  </si>
  <si>
    <t>28206</t>
  </si>
  <si>
    <t>10000 Metromont Industrial Blvd</t>
  </si>
  <si>
    <t>28269</t>
  </si>
  <si>
    <t>10000 Twin Lakes Parkway</t>
  </si>
  <si>
    <t>1001 Blythe Blvd, Suite 300</t>
  </si>
  <si>
    <t>28203</t>
  </si>
  <si>
    <t>1001 Carrier Dr</t>
  </si>
  <si>
    <t>1001 Tuckaseegee Rd</t>
  </si>
  <si>
    <t>28208</t>
  </si>
  <si>
    <t>1001 Wood Ridge Center Dr</t>
  </si>
  <si>
    <t>28217</t>
  </si>
  <si>
    <t>101 N Tryon St, Suite 112</t>
  </si>
  <si>
    <t>28246</t>
  </si>
  <si>
    <t>101 N Tryon St, Suite 1900</t>
  </si>
  <si>
    <t>10101 Claude Freeman Dr</t>
  </si>
  <si>
    <t>28262</t>
  </si>
  <si>
    <t>10200 Mallard Creek Rd</t>
  </si>
  <si>
    <t>10300 Claude Freeman Dr</t>
  </si>
  <si>
    <t>10301 Old Concord Rd</t>
  </si>
  <si>
    <t>28213</t>
  </si>
  <si>
    <t>10330 David Taylor Dr</t>
  </si>
  <si>
    <t>10601 Westlake Dr</t>
  </si>
  <si>
    <t>28273</t>
  </si>
  <si>
    <t>10710 Sikes Pl, Suite 200</t>
  </si>
  <si>
    <t>28277</t>
  </si>
  <si>
    <t>10720 Sike Pl, Suite 300</t>
  </si>
  <si>
    <t>10735 David Taylor Dr</t>
  </si>
  <si>
    <t>10815 Quality Dr</t>
  </si>
  <si>
    <t>28278</t>
  </si>
  <si>
    <t>10820 Withers Cove Park Dr</t>
  </si>
  <si>
    <t>10901 Texland Blvd</t>
  </si>
  <si>
    <t>10911 Granite St</t>
  </si>
  <si>
    <t>10926 David Taylor Dr</t>
  </si>
  <si>
    <t>10926 David Taylor Dr, Suite 200</t>
  </si>
  <si>
    <t>10950 Withers Cove Park Dr</t>
  </si>
  <si>
    <t>1100 S Tryon St</t>
  </si>
  <si>
    <t>11001 Rushmore Dr</t>
  </si>
  <si>
    <t>11006 Rushmore Dr, Suite 300</t>
  </si>
  <si>
    <t>1101 E 36th St</t>
  </si>
  <si>
    <t>28205</t>
  </si>
  <si>
    <t>1101 Tarhill Rd</t>
  </si>
  <si>
    <t>1101 W Craighead Rd</t>
  </si>
  <si>
    <t>11010 Reames Rd</t>
  </si>
  <si>
    <t>11020 David Taylor Dr, Suite 110</t>
  </si>
  <si>
    <t>11115 Rushmore Dr</t>
  </si>
  <si>
    <t>11121 Carmel Commons Blvd, Suite 450</t>
  </si>
  <si>
    <t>28226</t>
  </si>
  <si>
    <t>11150 Westlake Dr</t>
  </si>
  <si>
    <t>1123 S Church St</t>
  </si>
  <si>
    <t>1130 E Third St</t>
  </si>
  <si>
    <t>28204</t>
  </si>
  <si>
    <t>11301 Reames Rd</t>
  </si>
  <si>
    <t>1132 Pro Am Dr</t>
  </si>
  <si>
    <t>28211</t>
  </si>
  <si>
    <t>11430 N Community House Rd, Suite 350</t>
  </si>
  <si>
    <t>11440 Carmel Commons Blvd</t>
  </si>
  <si>
    <t>11501 Steele Creek Rd</t>
  </si>
  <si>
    <t>11535 Carmel Commons Pkwy, Suite 105</t>
  </si>
  <si>
    <t>11950 Howell Center Dr</t>
  </si>
  <si>
    <t>28227</t>
  </si>
  <si>
    <t>1201 Continental Blvd</t>
  </si>
  <si>
    <t>121 W Trade St, Suite 2300</t>
  </si>
  <si>
    <t>121 W Trade St, Suite 2700</t>
  </si>
  <si>
    <t>1228 E Morehead St, Suite 100</t>
  </si>
  <si>
    <t>125 Floyd Smith Dr, Suite 160</t>
  </si>
  <si>
    <t>127 W Worthington Ave, Suite 100</t>
  </si>
  <si>
    <t>12700 General Dr</t>
  </si>
  <si>
    <t>128 S Tryon St, Suite 1400</t>
  </si>
  <si>
    <t>128 S Tryon St, Suite 1720</t>
  </si>
  <si>
    <t>128 S Tryon St, Suite 1900</t>
  </si>
  <si>
    <t>128 S Tryon St, Suite 400</t>
  </si>
  <si>
    <t>128 S Tryon St, Suite 850</t>
  </si>
  <si>
    <t>128 S Tryon St, Suite 900</t>
  </si>
  <si>
    <t>129 W Trade St, Suite 700</t>
  </si>
  <si>
    <t>12933 Sam Neely Rd</t>
  </si>
  <si>
    <t>130 N Tryon St</t>
  </si>
  <si>
    <t>1300 South Blvd, Suite K</t>
  </si>
  <si>
    <t>1300 WT Harris Blvd</t>
  </si>
  <si>
    <t>13000 York Rd, Box 312</t>
  </si>
  <si>
    <t>1301 W Sugar Creek Rd</t>
  </si>
  <si>
    <t>1317 Alfred St</t>
  </si>
  <si>
    <t>1317 Berkeley Ave</t>
  </si>
  <si>
    <t>132 E Trade St</t>
  </si>
  <si>
    <t>1337 Hundred Oaks Dr</t>
  </si>
  <si>
    <t>135 S Sharon Amity Rd, Suite 100</t>
  </si>
  <si>
    <t>13501 South Ridge Dr</t>
  </si>
  <si>
    <t>13509 South Point Blvd, Suite 100</t>
  </si>
  <si>
    <t>13515 Ballantyne Corporate Pl</t>
  </si>
  <si>
    <t>13730 S Point Blvd</t>
  </si>
  <si>
    <t>13840 Ballantyne Corporate Pl, Suite 200</t>
  </si>
  <si>
    <t>13840 Ballantyne Corporate Pl, Suite 500</t>
  </si>
  <si>
    <t>13850 Ballentyne Corp Pl, Suite 200</t>
  </si>
  <si>
    <t>13860 Ballantyne Corp Pl, Suite 500</t>
  </si>
  <si>
    <t>13900 Conlan Circle, Suite 240</t>
  </si>
  <si>
    <t>13925 Ballantyne Corp Pl</t>
  </si>
  <si>
    <t>13950 Ballantyne Corporate Pl, Suite 200</t>
  </si>
  <si>
    <t>13950 Ballantyne Corporate Pl, Suite 300</t>
  </si>
  <si>
    <t>14001 S Lakes Dr</t>
  </si>
  <si>
    <t>141 Providence Rd</t>
  </si>
  <si>
    <t>28207</t>
  </si>
  <si>
    <t>14125 S Bridge Cir</t>
  </si>
  <si>
    <t>1415 E Westinghouse Blvd</t>
  </si>
  <si>
    <t>1420 E Seventh St</t>
  </si>
  <si>
    <t>14300 Carowinds Blvd</t>
  </si>
  <si>
    <t>1440 Carmel Rd</t>
  </si>
  <si>
    <t>145 Remount Rd</t>
  </si>
  <si>
    <t>1514 N Graham St</t>
  </si>
  <si>
    <t>1515 Mockingbird Ln, 3rd Floor</t>
  </si>
  <si>
    <t>28209</t>
  </si>
  <si>
    <t>1520 South Blvd, Suite 300</t>
  </si>
  <si>
    <t>1521 E Third St</t>
  </si>
  <si>
    <t>15800 John J Delaney Dr, Suite 200</t>
  </si>
  <si>
    <t>1701 Westinghouse Blvd</t>
  </si>
  <si>
    <t>1715 Sharon Rd W</t>
  </si>
  <si>
    <t>28210</t>
  </si>
  <si>
    <t>1718 E Fourth St, Suite 501</t>
  </si>
  <si>
    <t>1805 Sardis Dr N</t>
  </si>
  <si>
    <t>28270</t>
  </si>
  <si>
    <t>1807 S Tryon St</t>
  </si>
  <si>
    <t>1815 Coffey Point Dr</t>
  </si>
  <si>
    <t>1815 Starita Rd</t>
  </si>
  <si>
    <t>1900 Continental Blvd</t>
  </si>
  <si>
    <t>1900 Selwyn Ave</t>
  </si>
  <si>
    <t>28274</t>
  </si>
  <si>
    <t>1900 Wilkinson Blvd</t>
  </si>
  <si>
    <t>1915 Randolph Rd</t>
  </si>
  <si>
    <t>1921 Freedom Dr</t>
  </si>
  <si>
    <t>1930 Center Park Dr</t>
  </si>
  <si>
    <t>1930 W Sugar Creek Rd</t>
  </si>
  <si>
    <t>200 Clanton Rd</t>
  </si>
  <si>
    <t>200 Regency Executive Park</t>
  </si>
  <si>
    <t>200 S College St</t>
  </si>
  <si>
    <t>200 S College St, 4th Floor</t>
  </si>
  <si>
    <t>200 S Tryon St, Suite 130</t>
  </si>
  <si>
    <t>2000 Randolph Rd</t>
  </si>
  <si>
    <t>2001 Rexford Rd</t>
  </si>
  <si>
    <t>2001 Vail Ave, 7th Floor S</t>
  </si>
  <si>
    <t>201 Regency Executive Park Dr</t>
  </si>
  <si>
    <t>201 S College St, Suite 110</t>
  </si>
  <si>
    <t>28244</t>
  </si>
  <si>
    <t>201 S College St, Suite 1450</t>
  </si>
  <si>
    <t>201 S College St, Suite 2200</t>
  </si>
  <si>
    <t>201 S College St, Suite 2250</t>
  </si>
  <si>
    <t>201 S College St, Suite 2500</t>
  </si>
  <si>
    <t>201 W Morehead St, Suite 400</t>
  </si>
  <si>
    <t>2032 Gateway Blvd</t>
  </si>
  <si>
    <t>204 W Woodlawn Rd, Suite E</t>
  </si>
  <si>
    <t>2050 Suttle Ave</t>
  </si>
  <si>
    <t>207 Regency Executive Pk, Suite 100</t>
  </si>
  <si>
    <t>2101 Rexford Rd</t>
  </si>
  <si>
    <t>2109 Randolph Rd</t>
  </si>
  <si>
    <t>2110 Water Ridge Pkwy</t>
  </si>
  <si>
    <t>2115 Rexford Rd, Suite 102</t>
  </si>
  <si>
    <t>2118 Water Ridge Pkwy</t>
  </si>
  <si>
    <t>2120 Queen City Dr</t>
  </si>
  <si>
    <t>2121 Distribution Ctr Dr, Suite E</t>
  </si>
  <si>
    <t>2122 Thrift Rd</t>
  </si>
  <si>
    <t>2125 Southend Dr, Suite 352</t>
  </si>
  <si>
    <t>214 N Tryon St</t>
  </si>
  <si>
    <t>214 N Tryon St, Suite 3600</t>
  </si>
  <si>
    <t>214 N Tryon St, Suite 4000</t>
  </si>
  <si>
    <t>2201 Water Ridge Pkwy, Suite 500</t>
  </si>
  <si>
    <t>2211 Executive St, Suite D</t>
  </si>
  <si>
    <t>2221 Edge Lake Dr, Suite 190</t>
  </si>
  <si>
    <t>225 Baldwin Ave</t>
  </si>
  <si>
    <t>225 Manley St</t>
  </si>
  <si>
    <t>2250 Toomey Ave</t>
  </si>
  <si>
    <t>227 W Trade St, Suite 1100</t>
  </si>
  <si>
    <t>227 W Trade St, Suite 2400</t>
  </si>
  <si>
    <t>227 W Trade St, Suite 800</t>
  </si>
  <si>
    <t>2301 Randolph Rd</t>
  </si>
  <si>
    <t>2320 Cascade Pointe Blvd</t>
  </si>
  <si>
    <t>2320 Yadkin Ave</t>
  </si>
  <si>
    <t>2329 E WT Harris Blvd, Suite 100</t>
  </si>
  <si>
    <t>2359 Perimeter Point Pkwy, Suite 200</t>
  </si>
  <si>
    <t>2400 Yorkmont Rd</t>
  </si>
  <si>
    <t>2415 Roswell Ave</t>
  </si>
  <si>
    <t>2415 Sandy Porter Rd</t>
  </si>
  <si>
    <t>2420 Starita Rd</t>
  </si>
  <si>
    <t>28292</t>
  </si>
  <si>
    <t>2430 Whitehall Park Dr, Suite 700</t>
  </si>
  <si>
    <t>2440 Whitehall Park Dr, Suite 800</t>
  </si>
  <si>
    <t>2500 Cindy Ln</t>
  </si>
  <si>
    <t>255 E Hebron St</t>
  </si>
  <si>
    <t>2550 W Tyvola Rd</t>
  </si>
  <si>
    <t>2550 W Tyvola Rd, Suite 600</t>
  </si>
  <si>
    <t>2600 Queen City Dr</t>
  </si>
  <si>
    <t>2605 Water Ridge Pkwy</t>
  </si>
  <si>
    <t>2616 E Fifth St</t>
  </si>
  <si>
    <t>2705 Baltimore Ave</t>
  </si>
  <si>
    <t>2725 Water Ridge Parkway, Suite 100</t>
  </si>
  <si>
    <t>2730 Hutchinson McDonald Rd, Suite N</t>
  </si>
  <si>
    <t>2730 W Tyvola Rd</t>
  </si>
  <si>
    <t>2745 Whitehall Park Dr</t>
  </si>
  <si>
    <t>2750 Whitehall Park Dr</t>
  </si>
  <si>
    <t>2801 W Tyvola Rd</t>
  </si>
  <si>
    <t>2801 Yorkmont Rd, Suite 100</t>
  </si>
  <si>
    <t>2801 Yorkmont Rd, Suite 300</t>
  </si>
  <si>
    <t>2810 Coliseum Center Dr, Suite 350</t>
  </si>
  <si>
    <t>2815 Coliseum Center Dr, Suite 300</t>
  </si>
  <si>
    <t>2828 Queen City Dr</t>
  </si>
  <si>
    <t>2901 Scott Futrell Dr</t>
  </si>
  <si>
    <t>28228</t>
  </si>
  <si>
    <t>2910G Mount Holly-Huntersville Rd</t>
  </si>
  <si>
    <t>28214</t>
  </si>
  <si>
    <t>2911 Nevada Blvd</t>
  </si>
  <si>
    <t>3 Coliseum Center, 2550 Tyvola Rd, Suite 200</t>
  </si>
  <si>
    <t>300 Billingsley Rd, Suite 200</t>
  </si>
  <si>
    <t>301 N Tryon St</t>
  </si>
  <si>
    <t>301 S College St</t>
  </si>
  <si>
    <t>28288</t>
  </si>
  <si>
    <t>301 S College St, Suite 2300</t>
  </si>
  <si>
    <t>301 S College St, Suite 2800</t>
  </si>
  <si>
    <t>301-B E Woodlawn Rd</t>
  </si>
  <si>
    <t>305 N Caswell Rd</t>
  </si>
  <si>
    <t>309 Morningside Rd</t>
  </si>
  <si>
    <t>309 S Sharon Amity Rd, Suite 200</t>
  </si>
  <si>
    <t>310 N Tryon St</t>
  </si>
  <si>
    <t>3101 Asbury Ave, Suite D</t>
  </si>
  <si>
    <t>312 W Liddell St</t>
  </si>
  <si>
    <t>312 W Tremont Ave</t>
  </si>
  <si>
    <t>3140 W Arrowood Rd</t>
  </si>
  <si>
    <t>3145 S Tryon St</t>
  </si>
  <si>
    <t>3200 Woodpark Blvd</t>
  </si>
  <si>
    <t>3201 South Blvd</t>
  </si>
  <si>
    <t>3205 Freedom Dr, Suite 51</t>
  </si>
  <si>
    <t>3241 Woodpark Blvd</t>
  </si>
  <si>
    <t>333 Hawthorne Ln</t>
  </si>
  <si>
    <t>333 Jeremiah Blvd</t>
  </si>
  <si>
    <t>3333 N Tryon St</t>
  </si>
  <si>
    <t>3401 Vardell Ln, Suite D</t>
  </si>
  <si>
    <t>3401B Saint Vardell Ln</t>
  </si>
  <si>
    <t>3420 Park Rd</t>
  </si>
  <si>
    <t>3430 Toringdon Way, Suite 301</t>
  </si>
  <si>
    <t>3430 Tringdon Way, Suite 201</t>
  </si>
  <si>
    <t>3436 Torringdon Way, Suite 100</t>
  </si>
  <si>
    <t>3440 Toringdon Way, Suite 100</t>
  </si>
  <si>
    <t>3442 Cypress Club Dr</t>
  </si>
  <si>
    <t>351 Orchard Cir</t>
  </si>
  <si>
    <t>3516 Green Park Cir</t>
  </si>
  <si>
    <t>3523 Nevin Rd</t>
  </si>
  <si>
    <t>3600 Arco Corporate Dr</t>
  </si>
  <si>
    <t>3600A Woodpark Blvd</t>
  </si>
  <si>
    <t>3609 Trailer Dr</t>
  </si>
  <si>
    <t>3701 N Graham St</t>
  </si>
  <si>
    <t>3708 Westinghouse Blvd</t>
  </si>
  <si>
    <t>3735 Glen Lake Dr, Suite 300</t>
  </si>
  <si>
    <t>3800 Arco Corporate Dr</t>
  </si>
  <si>
    <t>3800 Shamrock Dr</t>
  </si>
  <si>
    <t>28215</t>
  </si>
  <si>
    <t>3801M Woodpark Blvd</t>
  </si>
  <si>
    <t>3809 Weona Ave</t>
  </si>
  <si>
    <t>3900 Westinghouse Blvd</t>
  </si>
  <si>
    <t>3911 South Blvd</t>
  </si>
  <si>
    <t>400 S Tryon St</t>
  </si>
  <si>
    <t>4000 Jeff Adams Dr</t>
  </si>
  <si>
    <t>4000 Monroe Rd</t>
  </si>
  <si>
    <t>4000 Sam Wilson Rd</t>
  </si>
  <si>
    <t>4000 Westinghouse Blvd</t>
  </si>
  <si>
    <t>4001 Performance Rd</t>
  </si>
  <si>
    <t>4001 Yancey Rd</t>
  </si>
  <si>
    <t>401 McCullough Dr</t>
  </si>
  <si>
    <t>401 N Tryon St</t>
  </si>
  <si>
    <t>401 N Tryon St, 10th Floor</t>
  </si>
  <si>
    <t>401 N Tryon St, Suites 700, 800 &amp; 900</t>
  </si>
  <si>
    <t>401 S Tryon St, Suite 2300</t>
  </si>
  <si>
    <t>401 S Tryon St, Suite 3000</t>
  </si>
  <si>
    <t>4100 Coca-Cola Plaza</t>
  </si>
  <si>
    <t>4101 Greensboro St</t>
  </si>
  <si>
    <t>4113 Yancey Rd</t>
  </si>
  <si>
    <t>4135 South Stream Blvd, Suite 300</t>
  </si>
  <si>
    <t>419 Peachtree Dr, Suite S</t>
  </si>
  <si>
    <t>4200 Performance Rd</t>
  </si>
  <si>
    <t>4200 Yorkmont Rd</t>
  </si>
  <si>
    <t>4201 Congress St, Suite 175</t>
  </si>
  <si>
    <t>4201 Congress St, Suite 190</t>
  </si>
  <si>
    <t>4201 Congress St, Suite 250</t>
  </si>
  <si>
    <t>4205B Stuart Andrew Blvd</t>
  </si>
  <si>
    <t>4235 S Stream Blvd</t>
  </si>
  <si>
    <t>4235 S Stream Blvd, Suite 400</t>
  </si>
  <si>
    <t>28220</t>
  </si>
  <si>
    <t>4236 Statesville Rd</t>
  </si>
  <si>
    <t>4250 Golf Acres Dr</t>
  </si>
  <si>
    <t>4265 Trailer Dr</t>
  </si>
  <si>
    <t>4349 Scott Futrell Dr</t>
  </si>
  <si>
    <t>435 Minuet Ln</t>
  </si>
  <si>
    <t>4400 Park Rd</t>
  </si>
  <si>
    <t>4400 Sharon Rd</t>
  </si>
  <si>
    <t>4400 Sharon Rd, Space A</t>
  </si>
  <si>
    <t>4404A Stuart Andrew Blvd</t>
  </si>
  <si>
    <t>4420 N Graham St</t>
  </si>
  <si>
    <t>23206</t>
  </si>
  <si>
    <t>4500 Morris Field Dr</t>
  </si>
  <si>
    <t>4501 Charlotte Park Dr</t>
  </si>
  <si>
    <t>4521 Sharon Rd, Suite 300</t>
  </si>
  <si>
    <t>4524 Reagan Dr</t>
  </si>
  <si>
    <t>4525 Statesville Rd</t>
  </si>
  <si>
    <t>4529 Sharon Rd, Suite 200</t>
  </si>
  <si>
    <t>4530 Park Rd, Suite 420</t>
  </si>
  <si>
    <t>4530 Park Rd, Suite 430</t>
  </si>
  <si>
    <t>4600 Park Rd, Suite 103</t>
  </si>
  <si>
    <t>4600 Park Rd, Suite 500</t>
  </si>
  <si>
    <t>4600A N Tryon St</t>
  </si>
  <si>
    <t>4601 Park Rd, Suite 500</t>
  </si>
  <si>
    <t>4611 E Independence Blvd</t>
  </si>
  <si>
    <t>28212</t>
  </si>
  <si>
    <t>4651 Charlotte Park Dr, Suite 400</t>
  </si>
  <si>
    <t>4701 Hedgemore Dr</t>
  </si>
  <si>
    <t>4701 Stockholm Ct</t>
  </si>
  <si>
    <t>4707 South Blvd</t>
  </si>
  <si>
    <t>4720 Piedmont Row Dr</t>
  </si>
  <si>
    <t>4735 Carmel Rd</t>
  </si>
  <si>
    <t>4801 E Independence Blvd, Suite 309</t>
  </si>
  <si>
    <t>4801 Randolph Rd</t>
  </si>
  <si>
    <t>4948F Airport Center Pkwy</t>
  </si>
  <si>
    <t>500 E Morehead St, Suite 300</t>
  </si>
  <si>
    <t>500 Forest Point Cir</t>
  </si>
  <si>
    <t>5007 Providence Rd</t>
  </si>
  <si>
    <t>501 S College St</t>
  </si>
  <si>
    <t>5100 Sharon Rd</t>
  </si>
  <si>
    <t>5100R W WT Harris Blvd</t>
  </si>
  <si>
    <t>5104 N Graham St</t>
  </si>
  <si>
    <t>5108 Reagan Dr, Suite 14</t>
  </si>
  <si>
    <t>5113 Piper Station Dr, Suite 300</t>
  </si>
  <si>
    <t>5141 E Independence Blvd</t>
  </si>
  <si>
    <t>517 S Sharon Amity Rd, Suite 100</t>
  </si>
  <si>
    <t>5201 Sunset Rd</t>
  </si>
  <si>
    <t>5204 N Graham St</t>
  </si>
  <si>
    <t>521 Clanton Rd, Suite E</t>
  </si>
  <si>
    <t>5250 77 Center Dr, Suite 150</t>
  </si>
  <si>
    <t>5260 Parkway Plaza Blvd, Suite 130</t>
  </si>
  <si>
    <t>5327 Brookshire Blvd</t>
  </si>
  <si>
    <t>5350 77 Center Dr, Suite 100</t>
  </si>
  <si>
    <t>5401 E Independence Blvd</t>
  </si>
  <si>
    <t>5404 Central Ave</t>
  </si>
  <si>
    <t>5411 N Tryon St</t>
  </si>
  <si>
    <t>5417 Wyoming Ave</t>
  </si>
  <si>
    <t>5435 Hovis Rd</t>
  </si>
  <si>
    <t>5501 Josh Birmingham Pkwy</t>
  </si>
  <si>
    <t>555 S McDowell St</t>
  </si>
  <si>
    <t>5600 77 Center Dr, Suite 100</t>
  </si>
  <si>
    <t>5600 Wilkinson Blvd</t>
  </si>
  <si>
    <t>5601 77 Center Dr, Suite 240</t>
  </si>
  <si>
    <t>5605 Carnegie Blvd, Suite 200</t>
  </si>
  <si>
    <t>5701 E Independence Blvd</t>
  </si>
  <si>
    <t>5701 Westpark Dr, Suite 205</t>
  </si>
  <si>
    <t>5715 Westpark Dr, Suite 200</t>
  </si>
  <si>
    <t>5800 Old Providence Rd</t>
  </si>
  <si>
    <t>5800 Sardis Rd</t>
  </si>
  <si>
    <t>5801 Executive Center Dr, Suite 212</t>
  </si>
  <si>
    <t>5801 Pineville-Matthews Rd</t>
  </si>
  <si>
    <t>5815 Westpark Dr</t>
  </si>
  <si>
    <t>5821 Fairview Rd, Suite 117</t>
  </si>
  <si>
    <t>5825 Carnegie Blvd</t>
  </si>
  <si>
    <t>5835 Executive Center Dr, Suite 200</t>
  </si>
  <si>
    <t>5900 Harris Technology Blvd</t>
  </si>
  <si>
    <t>5925 Carnegie Blvd, Suite 350</t>
  </si>
  <si>
    <t>5935 Carnegie Blvd, Suite 200</t>
  </si>
  <si>
    <t>5945 Reddman Rd, Suite 100</t>
  </si>
  <si>
    <t>5955 Carnegie Blvd, Suite 300</t>
  </si>
  <si>
    <t>5960 Fairview Rd, Suite 500</t>
  </si>
  <si>
    <t>5970 Fairview Rd, Suite 300</t>
  </si>
  <si>
    <t>5970 Fairview Rd, Suite 500</t>
  </si>
  <si>
    <t>5970 Fairview Rd, Suite 600</t>
  </si>
  <si>
    <t>600 E Fourth St</t>
  </si>
  <si>
    <t>600 E Fourth St, 11th Floor</t>
  </si>
  <si>
    <t>600 Fairview Rd, Suite 550</t>
  </si>
  <si>
    <t>6000 Carnegie Blvd</t>
  </si>
  <si>
    <t>6000 Fairview Rd</t>
  </si>
  <si>
    <t>6001 Providence Country Club Dr</t>
  </si>
  <si>
    <t>6001 Wilora Lake Rd</t>
  </si>
  <si>
    <t>601 E Fifth St, Suite 400</t>
  </si>
  <si>
    <t>6035 Fairview Rd</t>
  </si>
  <si>
    <t>6039 McDaniel Ln</t>
  </si>
  <si>
    <t>6050 Hickory Grove Rd</t>
  </si>
  <si>
    <t>6101 Carnegie Blvd</t>
  </si>
  <si>
    <t>6101 Orr Rd</t>
  </si>
  <si>
    <t>6135 Lakeview Rd, Suite 250</t>
  </si>
  <si>
    <t>620 Tom Hunter Rd</t>
  </si>
  <si>
    <t>6235 Morrison Blvd</t>
  </si>
  <si>
    <t>6337 Morrison Blvd</t>
  </si>
  <si>
    <t>6407 Idlewild Rd, Suite 204</t>
  </si>
  <si>
    <t>651 Michael Wylie Dr</t>
  </si>
  <si>
    <t>6525 Morrison Blvd, Suite 516</t>
  </si>
  <si>
    <t>654 Pressley Rd</t>
  </si>
  <si>
    <t>6600 CSX Way</t>
  </si>
  <si>
    <t>6600 Triple A Dr</t>
  </si>
  <si>
    <t>6600 W WT Harris Blvd</t>
  </si>
  <si>
    <t>6700 Fairview Rd</t>
  </si>
  <si>
    <t>6701 Carmel Rd, Suite 100</t>
  </si>
  <si>
    <t>6701 Carmel Rd, Suite 110</t>
  </si>
  <si>
    <t>6701 Old Statesville Rd</t>
  </si>
  <si>
    <t>6801 E Independence Blvd</t>
  </si>
  <si>
    <t>6801 Morrison Blvd</t>
  </si>
  <si>
    <t>6809F Phillips Place Ct</t>
  </si>
  <si>
    <t>6851 Albemarle Rd</t>
  </si>
  <si>
    <t>6901 IBM Dr</t>
  </si>
  <si>
    <t>7001 E Independence Blvd</t>
  </si>
  <si>
    <t>7001 Statesville Rd</t>
  </si>
  <si>
    <t>701 Carrier Dr</t>
  </si>
  <si>
    <t>7120 Orr Rd</t>
  </si>
  <si>
    <t>7201 Hewitt Associates Dr, Suite 500</t>
  </si>
  <si>
    <t>7207 IBM Dr</t>
  </si>
  <si>
    <t>7300 Reames Rd</t>
  </si>
  <si>
    <t>7301 Sardis Rd</t>
  </si>
  <si>
    <t>7345 IBM Dr</t>
  </si>
  <si>
    <t>7421 E Independence Blvd</t>
  </si>
  <si>
    <t>7500 Statesville Rd</t>
  </si>
  <si>
    <t>7504 E Independence Blvd, Suite 109</t>
  </si>
  <si>
    <t>7505 Statesville Rd</t>
  </si>
  <si>
    <t>7510 E Independence Blvd, Suite 230</t>
  </si>
  <si>
    <t>7621 Little Ave</t>
  </si>
  <si>
    <t>7621 Little Ave, Suite 430</t>
  </si>
  <si>
    <t>7700 Krefeld Dr</t>
  </si>
  <si>
    <t>7702 Pineville Matthews Rd</t>
  </si>
  <si>
    <t>7801 Statesville Rd</t>
  </si>
  <si>
    <t>7825 Ballantyne Commons Pkwy, Suite 350</t>
  </si>
  <si>
    <t>7910 Crescent Executive Dr, 5th Floor</t>
  </si>
  <si>
    <t>800 West Hill St</t>
  </si>
  <si>
    <t>800 Westinghouse Blvd</t>
  </si>
  <si>
    <t>801 W Trade St</t>
  </si>
  <si>
    <t>801 Woodridge Center Dr</t>
  </si>
  <si>
    <t>8025 Arrowridge Blvd</t>
  </si>
  <si>
    <t>8040 Arrowridge Blvd, Suite 100</t>
  </si>
  <si>
    <t>8055 Microsoft Way</t>
  </si>
  <si>
    <t>806 Tyvola Rd, Suite 108</t>
  </si>
  <si>
    <t>8120 University City Blvd</t>
  </si>
  <si>
    <t>8200 E Independence Blvd</t>
  </si>
  <si>
    <t>8215 Forest Pointe Blvd, Suite 100</t>
  </si>
  <si>
    <t>8303 University Executive Park, Suite 450</t>
  </si>
  <si>
    <t>8310 Technology Dr</t>
  </si>
  <si>
    <t>8325 Arrowridge Blvd</t>
  </si>
  <si>
    <t>8500 Andrew Carnegie Blvd</t>
  </si>
  <si>
    <t>8500 S Tryon St</t>
  </si>
  <si>
    <t>8501 IBM Dr</t>
  </si>
  <si>
    <t>8501 Tower Point Dr</t>
  </si>
  <si>
    <t>8510 Crown Crecent Ct</t>
  </si>
  <si>
    <t>8520 Cliff Cameron Dr, Suite 170</t>
  </si>
  <si>
    <t>28268</t>
  </si>
  <si>
    <t>8600 Bill Ficklen Dr</t>
  </si>
  <si>
    <t>8600 Raintree Ln</t>
  </si>
  <si>
    <t>8604 Cliff Cameron Dr, Suite 110</t>
  </si>
  <si>
    <t>8800 South Blvd</t>
  </si>
  <si>
    <t>8919 Park Rd</t>
  </si>
  <si>
    <t>9000 Statesville Rd</t>
  </si>
  <si>
    <t>9107 S Tryon St, Suite F</t>
  </si>
  <si>
    <t>9111 Monroe Rd, Suite 100</t>
  </si>
  <si>
    <t>916 E Morehead St</t>
  </si>
  <si>
    <t>917 E WT Harris Blvd</t>
  </si>
  <si>
    <t>9200 Glenwater Dr</t>
  </si>
  <si>
    <t>9201 University City Blvd</t>
  </si>
  <si>
    <t>28223</t>
  </si>
  <si>
    <t>9225 Forsythe Park Dr</t>
  </si>
  <si>
    <t>927 East Blvd</t>
  </si>
  <si>
    <t>928 Baxter St</t>
  </si>
  <si>
    <t>933 Louise Ave</t>
  </si>
  <si>
    <t>9335 Harris Corners Pkwy, Suite 300</t>
  </si>
  <si>
    <t>9401 Arrowpoint Blvd, Suite 150</t>
  </si>
  <si>
    <t>9401 Southern Pine Blvd, Suite U</t>
  </si>
  <si>
    <t>9405 Arrowpoint Blvd</t>
  </si>
  <si>
    <t>9415 Stockport Pl</t>
  </si>
  <si>
    <t>9500 Monroe Rd</t>
  </si>
  <si>
    <t>9502 Providence Rd</t>
  </si>
  <si>
    <t>9700 Metromont Industrial Blvd</t>
  </si>
  <si>
    <t>9701 Old Statesville Rd</t>
  </si>
  <si>
    <t>9711 David Taylor Dr</t>
  </si>
  <si>
    <t>9731E Southern Pine Blvd</t>
  </si>
  <si>
    <t>9751 Southern Pine Blvd</t>
  </si>
  <si>
    <t>9815 David Taylor Dr</t>
  </si>
  <si>
    <t>9826 Southern Pine Blvd</t>
  </si>
  <si>
    <t>9844A Southern Pine Blvd</t>
  </si>
  <si>
    <t>9925 Metromont Industrial Blvd</t>
  </si>
  <si>
    <t>Hearst Tower, 47th Floor, 214 N Tryon St</t>
  </si>
  <si>
    <t>One Julian Price Pl</t>
  </si>
  <si>
    <t>One Television Pl</t>
  </si>
  <si>
    <t>111 Harrelson Rd</t>
  </si>
  <si>
    <t>Cherryville</t>
  </si>
  <si>
    <t>28021</t>
  </si>
  <si>
    <t>175 N Pine Ridge Rd</t>
  </si>
  <si>
    <t>China Grove</t>
  </si>
  <si>
    <t>28023</t>
  </si>
  <si>
    <t>2725 Kelly Blvd</t>
  </si>
  <si>
    <t>Claremont</t>
  </si>
  <si>
    <t>28610</t>
  </si>
  <si>
    <t>320 Bear Poplar Rd</t>
  </si>
  <si>
    <t>Cleveland</t>
  </si>
  <si>
    <t>27013</t>
  </si>
  <si>
    <t>1000 Stanley Dr</t>
  </si>
  <si>
    <t>Concord</t>
  </si>
  <si>
    <t>28027</t>
  </si>
  <si>
    <t>150 Warren Coleman Blvd</t>
  </si>
  <si>
    <t>245 LePhillip Ct NE</t>
  </si>
  <si>
    <t>28025</t>
  </si>
  <si>
    <t>2665 Zion Church Rd</t>
  </si>
  <si>
    <t>270 Copperfield Blvd, Suite 201</t>
  </si>
  <si>
    <t>2845 Armentrout Dr</t>
  </si>
  <si>
    <t>287 Concord Pkwy N</t>
  </si>
  <si>
    <t>300 McGill Ave</t>
  </si>
  <si>
    <t>413 Winecoff School Rd</t>
  </si>
  <si>
    <t>4140 Concord Pkwy S</t>
  </si>
  <si>
    <t>4510 Enterprise Dr NW</t>
  </si>
  <si>
    <t>4515 Enterprise Dr NW</t>
  </si>
  <si>
    <t>4524 Enterprise Dr</t>
  </si>
  <si>
    <t>4539 Enterprise Dr NW</t>
  </si>
  <si>
    <t>515 Lake Concord Rd</t>
  </si>
  <si>
    <t>5333 Davidson Hwy</t>
  </si>
  <si>
    <t>545B Pitts School Rd NW</t>
  </si>
  <si>
    <t>6022 Victory Ln</t>
  </si>
  <si>
    <t>6301 Performance Dr</t>
  </si>
  <si>
    <t>7101 Weddington Rd Ext</t>
  </si>
  <si>
    <t>723 Commerce Dr</t>
  </si>
  <si>
    <t>75 Odell School Rd</t>
  </si>
  <si>
    <t>8181 Concord Mills Blvd</t>
  </si>
  <si>
    <t>8361 Concord Mills Blvd</t>
  </si>
  <si>
    <t>862 Harris St</t>
  </si>
  <si>
    <t>International Dr</t>
  </si>
  <si>
    <t>1004 Keisler Rd</t>
  </si>
  <si>
    <t>Conover</t>
  </si>
  <si>
    <t>28613</t>
  </si>
  <si>
    <t>101 Somerset Dr NW</t>
  </si>
  <si>
    <t>1123 Fourth St SW</t>
  </si>
  <si>
    <t>210 First Ave S</t>
  </si>
  <si>
    <t>219 Simpson St</t>
  </si>
  <si>
    <t>3101A 15th Ave SE</t>
  </si>
  <si>
    <t>3791 Club House Dr NE</t>
  </si>
  <si>
    <t>911 Industrial Dr SW</t>
  </si>
  <si>
    <t>11020 Bailey Rd, Suite E</t>
  </si>
  <si>
    <t>Cornelius</t>
  </si>
  <si>
    <t>28031</t>
  </si>
  <si>
    <t>17830 Statesville Rd</t>
  </si>
  <si>
    <t>18801 Old Statesville Rd</t>
  </si>
  <si>
    <t>19901 W Catawba Ave, Suite 105</t>
  </si>
  <si>
    <t>651 Eagle Rd</t>
  </si>
  <si>
    <t>Cramerton</t>
  </si>
  <si>
    <t>28032</t>
  </si>
  <si>
    <t>201 Hwy 321 S</t>
  </si>
  <si>
    <t>Dallas</t>
  </si>
  <si>
    <t>28034</t>
  </si>
  <si>
    <t>903 Gastonia Technology Pkwy</t>
  </si>
  <si>
    <t>400 Avinger Ln</t>
  </si>
  <si>
    <t>Davidson</t>
  </si>
  <si>
    <t>28036</t>
  </si>
  <si>
    <t>404 Armour St</t>
  </si>
  <si>
    <t>8819 Columbus St</t>
  </si>
  <si>
    <t>885 N Hwy 16</t>
  </si>
  <si>
    <t>Denver</t>
  </si>
  <si>
    <t>28037</t>
  </si>
  <si>
    <t>1029 Cox Rd</t>
  </si>
  <si>
    <t>Gastonia</t>
  </si>
  <si>
    <t>28054</t>
  </si>
  <si>
    <t>1201 Tulip Dr</t>
  </si>
  <si>
    <t>28052</t>
  </si>
  <si>
    <t>1205 Isley Dr</t>
  </si>
  <si>
    <t>1228 Isley Dr</t>
  </si>
  <si>
    <t>28053</t>
  </si>
  <si>
    <t>128 W Main Ave</t>
  </si>
  <si>
    <t>1301 Bessemer City Rd</t>
  </si>
  <si>
    <t>1302 Industrial Pike Rd</t>
  </si>
  <si>
    <t>1330 Isley Rd</t>
  </si>
  <si>
    <t>1893 Remount Rd</t>
  </si>
  <si>
    <t>1909 Kyle Ct</t>
  </si>
  <si>
    <t>1910 Hunt Ave</t>
  </si>
  <si>
    <t>1925 W Poplar St</t>
  </si>
  <si>
    <t>201 S Clay St</t>
  </si>
  <si>
    <t>2065 Lyon St</t>
  </si>
  <si>
    <t>207 Telegraph Dr</t>
  </si>
  <si>
    <t>28056</t>
  </si>
  <si>
    <t>2300 Aberdeen Blvd</t>
  </si>
  <si>
    <t>2504 Lowell Rd</t>
  </si>
  <si>
    <t>2712 Lowell Rd</t>
  </si>
  <si>
    <t>299 Olney Church Rd</t>
  </si>
  <si>
    <t>40 Rex Ave</t>
  </si>
  <si>
    <t>416 N Highland St</t>
  </si>
  <si>
    <t>519 S New Hope Rd</t>
  </si>
  <si>
    <t>549 Cox Rd</t>
  </si>
  <si>
    <t>5533 York Hwy</t>
  </si>
  <si>
    <t>901 S New Hope Rd</t>
  </si>
  <si>
    <t>3300 Bethlehem Church Rd</t>
  </si>
  <si>
    <t>Gold Hill</t>
  </si>
  <si>
    <t>28071</t>
  </si>
  <si>
    <t>2525 Blacksburg Rd</t>
  </si>
  <si>
    <t>Grover</t>
  </si>
  <si>
    <t>790 S Battleground Ave</t>
  </si>
  <si>
    <t>28073</t>
  </si>
  <si>
    <t>4351 Main St, Suite 207</t>
  </si>
  <si>
    <t>Harrisburg</t>
  </si>
  <si>
    <t>28075</t>
  </si>
  <si>
    <t>5265 Z-Max Blvd</t>
  </si>
  <si>
    <t>7301 Caldwell Rd</t>
  </si>
  <si>
    <t>7770 Caldwell Rd</t>
  </si>
  <si>
    <t>1851 Ninth Ave NE</t>
  </si>
  <si>
    <t>Hickory</t>
  </si>
  <si>
    <t>28601</t>
  </si>
  <si>
    <t>22 S Center St</t>
  </si>
  <si>
    <t>28602</t>
  </si>
  <si>
    <t>2401 14th Ave Cir NW</t>
  </si>
  <si>
    <t>2550 US Hwy 70 SE</t>
  </si>
  <si>
    <t>300 2nd Ave NW</t>
  </si>
  <si>
    <t>3030 Falling Creek Rd</t>
  </si>
  <si>
    <t>3050 Tate Blvd SE</t>
  </si>
  <si>
    <t>3166 Main Ave SE</t>
  </si>
  <si>
    <t>317 First Ave NW</t>
  </si>
  <si>
    <t>28603</t>
  </si>
  <si>
    <t>3255 20th Ave SE</t>
  </si>
  <si>
    <t>343 Second St NW</t>
  </si>
  <si>
    <t>348 Lenoir Rhyne Blvd SE</t>
  </si>
  <si>
    <t>357 First Ave NW</t>
  </si>
  <si>
    <t>4062 Section House Rd</t>
  </si>
  <si>
    <t>420 N Center St</t>
  </si>
  <si>
    <t>432 Fourth Ave SW</t>
  </si>
  <si>
    <t>625 Seventh Ave NE</t>
  </si>
  <si>
    <t>810 Fairgrove Church Rd</t>
  </si>
  <si>
    <t>8814 Dietz Ave</t>
  </si>
  <si>
    <t>910 US Highway 321 NW</t>
  </si>
  <si>
    <t>11701 McCord Rd</t>
  </si>
  <si>
    <t>Huntersville</t>
  </si>
  <si>
    <t>28070</t>
  </si>
  <si>
    <t>12125 Herbert Wayne Ct</t>
  </si>
  <si>
    <t>28078</t>
  </si>
  <si>
    <t>12201 Vanstory Rd</t>
  </si>
  <si>
    <t>12801 Jamesburg Dr</t>
  </si>
  <si>
    <t>12801 Mount Holly-Huntersville Rd</t>
  </si>
  <si>
    <t>13415 Reese Blvd, Suite W</t>
  </si>
  <si>
    <t>13429 Statesville Rd</t>
  </si>
  <si>
    <t>15316 Seagle St</t>
  </si>
  <si>
    <t>16315A Northcross Dr</t>
  </si>
  <si>
    <t>16400 Huntersville-Concord Rd</t>
  </si>
  <si>
    <t>16905 Northcross Dr</t>
  </si>
  <si>
    <t>8935 North Pointe Executive Park Dr</t>
  </si>
  <si>
    <t>88 Dale Jarrett Blvd</t>
  </si>
  <si>
    <t>Indian Trail</t>
  </si>
  <si>
    <t>28079</t>
  </si>
  <si>
    <t>9320 Machado Dr</t>
  </si>
  <si>
    <t>1000 Timken Pl</t>
  </si>
  <si>
    <t>Iron Station</t>
  </si>
  <si>
    <t>28080</t>
  </si>
  <si>
    <t>100 Denver St</t>
  </si>
  <si>
    <t>Kannapolis</t>
  </si>
  <si>
    <t>28083</t>
  </si>
  <si>
    <t>101 YMCA Dr</t>
  </si>
  <si>
    <t>28081</t>
  </si>
  <si>
    <t>1307 S Cannon Blvd</t>
  </si>
  <si>
    <t>136 Oak Ave</t>
  </si>
  <si>
    <t>1810 Concord Lake Rd</t>
  </si>
  <si>
    <t>101 Reliance Rd</t>
  </si>
  <si>
    <t>Kings Mountain</t>
  </si>
  <si>
    <t>28086</t>
  </si>
  <si>
    <t>132 Riverside Ct</t>
  </si>
  <si>
    <t>203 Turbo Dr</t>
  </si>
  <si>
    <t>348 Holiday Inn Dr</t>
  </si>
  <si>
    <t>629 S Battleground Ave</t>
  </si>
  <si>
    <t>705 Canterbury Rd</t>
  </si>
  <si>
    <t>766 Haileys Ferry Rd</t>
  </si>
  <si>
    <t>Lilesville</t>
  </si>
  <si>
    <t>28091</t>
  </si>
  <si>
    <t>1140 N Flint St</t>
  </si>
  <si>
    <t>Lincolnton</t>
  </si>
  <si>
    <t>28092</t>
  </si>
  <si>
    <t>115 W Main St</t>
  </si>
  <si>
    <t>1164 Burris Blvd</t>
  </si>
  <si>
    <t>28093</t>
  </si>
  <si>
    <t>1636 Salem Church Rd</t>
  </si>
  <si>
    <t>1726 Riverview Rd</t>
  </si>
  <si>
    <t>1877 Kawai Rd</t>
  </si>
  <si>
    <t>2002 Cataler Dr</t>
  </si>
  <si>
    <t>2130 E Main St</t>
  </si>
  <si>
    <t>3333 Finger Mill Rd</t>
  </si>
  <si>
    <t>350 N Generals Blvd</t>
  </si>
  <si>
    <t>500 Lincoln County Parkway Ext</t>
  </si>
  <si>
    <t>511 Hoffman Rd</t>
  </si>
  <si>
    <t>4643 S Hwy 16</t>
  </si>
  <si>
    <t>Maiden</t>
  </si>
  <si>
    <t>28650</t>
  </si>
  <si>
    <t>700 S Main Ave</t>
  </si>
  <si>
    <t>1528 Hasty Rd</t>
  </si>
  <si>
    <t>Marshville</t>
  </si>
  <si>
    <t>28103</t>
  </si>
  <si>
    <t>311 W Phifer St</t>
  </si>
  <si>
    <t>10005 Monroe Rd</t>
  </si>
  <si>
    <t>Matthews</t>
  </si>
  <si>
    <t>1035 Commercial Dr</t>
  </si>
  <si>
    <t>28104</t>
  </si>
  <si>
    <t>11135 Monroe Rd</t>
  </si>
  <si>
    <t>28105</t>
  </si>
  <si>
    <t>232 Matthews Station St</t>
  </si>
  <si>
    <t>301 Warehouse Dr</t>
  </si>
  <si>
    <t>3029 Senna Dr</t>
  </si>
  <si>
    <t>303 Seaboard Dr</t>
  </si>
  <si>
    <t>5100 Smith Farm Rd</t>
  </si>
  <si>
    <t>600 Fullwood Ln</t>
  </si>
  <si>
    <t>6800 Saint Peter's Ln</t>
  </si>
  <si>
    <t>700 Crestdale St</t>
  </si>
  <si>
    <t>701 Crestdale Dr</t>
  </si>
  <si>
    <t>733 Plantation Estate Dr</t>
  </si>
  <si>
    <t>800 Fullwood Ln</t>
  </si>
  <si>
    <t>815 Matthews-Mint Hill Rd</t>
  </si>
  <si>
    <t>931 Industrial Dr</t>
  </si>
  <si>
    <t>941 Matthews Mint Hill Rd</t>
  </si>
  <si>
    <t>1212 Sunset Dr E</t>
  </si>
  <si>
    <t>Monroe</t>
  </si>
  <si>
    <t>28112</t>
  </si>
  <si>
    <t>1710 Morgan Mill Rd</t>
  </si>
  <si>
    <t>28110</t>
  </si>
  <si>
    <t>1803 Rocky River Rd N</t>
  </si>
  <si>
    <t>1900 Airport Rd</t>
  </si>
  <si>
    <t>1902 Airport Rd</t>
  </si>
  <si>
    <t>2011 N Rocky River Rd</t>
  </si>
  <si>
    <t>2210 Stafford St Ext</t>
  </si>
  <si>
    <t>2325 Hanover Dr</t>
  </si>
  <si>
    <t>2701 Simpson St</t>
  </si>
  <si>
    <t>2807 Gray Fox Rd</t>
  </si>
  <si>
    <t>2980 Mason St</t>
  </si>
  <si>
    <t>3000 Stitt St</t>
  </si>
  <si>
    <t>3414 Wesley Chapel Stouts Rd</t>
  </si>
  <si>
    <t>4238 Capital Dr</t>
  </si>
  <si>
    <t>4608 Carriker Rd</t>
  </si>
  <si>
    <t>500 N Main St, Suite 700</t>
  </si>
  <si>
    <t>500 N Main St, Suite 835</t>
  </si>
  <si>
    <t>701 Industrial Dr</t>
  </si>
  <si>
    <t>1000 Lowe's Blvd</t>
  </si>
  <si>
    <t>Mooresville</t>
  </si>
  <si>
    <t>28117</t>
  </si>
  <si>
    <t>115D N Commercial Dr</t>
  </si>
  <si>
    <t>28115</t>
  </si>
  <si>
    <t>122 Knob Hill Rd</t>
  </si>
  <si>
    <t>125 Infield Ct</t>
  </si>
  <si>
    <t>128 Speedway Dr</t>
  </si>
  <si>
    <t>135 Denver Business Park</t>
  </si>
  <si>
    <t>1675 Coddle Creek Rd</t>
  </si>
  <si>
    <t>220 Byers Creek Rd</t>
  </si>
  <si>
    <t>220 W Plaza Dr</t>
  </si>
  <si>
    <t>256 Raceway Dr, Suite 6</t>
  </si>
  <si>
    <t>305 N Main St</t>
  </si>
  <si>
    <t>314 Mooresville Blvd</t>
  </si>
  <si>
    <t>342 Mooresville Blvd</t>
  </si>
  <si>
    <t>100 Buckeye Dr</t>
  </si>
  <si>
    <t>Mount Holly</t>
  </si>
  <si>
    <t>28120</t>
  </si>
  <si>
    <t>243 W Catawba Ave</t>
  </si>
  <si>
    <t>Mt Holly</t>
  </si>
  <si>
    <t>181 Random Dr</t>
  </si>
  <si>
    <t>New London</t>
  </si>
  <si>
    <t>28127</t>
  </si>
  <si>
    <t>100 Southwest Blvd, Bldg A</t>
  </si>
  <si>
    <t>Newton</t>
  </si>
  <si>
    <t>28658</t>
  </si>
  <si>
    <t>1848 Getrag Pkwy</t>
  </si>
  <si>
    <t>2800 Woodtech Dr</t>
  </si>
  <si>
    <t>3456 20th Ave SE</t>
  </si>
  <si>
    <t>3975 Robinson Rd</t>
  </si>
  <si>
    <t>402 W 25th St</t>
  </si>
  <si>
    <t>518 W C St</t>
  </si>
  <si>
    <t>605 N Ashe Ave</t>
  </si>
  <si>
    <t>40589 S Stanly School Rd</t>
  </si>
  <si>
    <t>Norwood</t>
  </si>
  <si>
    <t>28128</t>
  </si>
  <si>
    <t>1010 Lakeview Dr</t>
  </si>
  <si>
    <t>Pineville</t>
  </si>
  <si>
    <t>28134</t>
  </si>
  <si>
    <t>10500 Industrial Dr</t>
  </si>
  <si>
    <t>10510 Cadillac St</t>
  </si>
  <si>
    <t>10617 Southern Loop Blvd</t>
  </si>
  <si>
    <t>9800 Industrial Dr</t>
  </si>
  <si>
    <t>1331 Mail Service Center</t>
  </si>
  <si>
    <t>Raleigh</t>
  </si>
  <si>
    <t>27699</t>
  </si>
  <si>
    <t>3200 Beachleaf Dr, Suite 300</t>
  </si>
  <si>
    <t>27604</t>
  </si>
  <si>
    <t>309 Viscount Rd</t>
  </si>
  <si>
    <t>Rockwell</t>
  </si>
  <si>
    <t>28138</t>
  </si>
  <si>
    <t>105 Summit Park Dr</t>
  </si>
  <si>
    <t>Salisbury</t>
  </si>
  <si>
    <t>28146</t>
  </si>
  <si>
    <t>130 W Innes St</t>
  </si>
  <si>
    <t>28144</t>
  </si>
  <si>
    <t>1302 N Salisbury Ave</t>
  </si>
  <si>
    <t>1315 Peach Orchard Rd</t>
  </si>
  <si>
    <t>1405 N Salisbury Ave</t>
  </si>
  <si>
    <t>1417 Jake Alexander Blvd S</t>
  </si>
  <si>
    <t>1601 Brenner Ave</t>
  </si>
  <si>
    <t>1735 Heilig Rd</t>
  </si>
  <si>
    <t>1985 Union Church Rd</t>
  </si>
  <si>
    <t>209 Long Meadow Dr</t>
  </si>
  <si>
    <t>28147</t>
  </si>
  <si>
    <t>2121 Heilig Rd</t>
  </si>
  <si>
    <t>2300 W Innes St</t>
  </si>
  <si>
    <t>330 S Main St</t>
  </si>
  <si>
    <t>380 Circle M Dr</t>
  </si>
  <si>
    <t>420 N Main St</t>
  </si>
  <si>
    <t>485 Cedar Springs Rd</t>
  </si>
  <si>
    <t>511 Jake Alexander Blvd S</t>
  </si>
  <si>
    <t>520 Grace Church Rd</t>
  </si>
  <si>
    <t>612 Mocksville Ave</t>
  </si>
  <si>
    <t>6701 Statesville Blvd</t>
  </si>
  <si>
    <t>701 W Monroe St</t>
  </si>
  <si>
    <t>130 S Post Rd, Suite 2</t>
  </si>
  <si>
    <t>Shelby</t>
  </si>
  <si>
    <t>28152</t>
  </si>
  <si>
    <t>135 Old Boiling Springs Rd</t>
  </si>
  <si>
    <t>137 S Post Rd</t>
  </si>
  <si>
    <t>1840 E Dixon Blvd</t>
  </si>
  <si>
    <t>201 E Grover St</t>
  </si>
  <si>
    <t>28150</t>
  </si>
  <si>
    <t>2312 Randolph Rd</t>
  </si>
  <si>
    <t>650 N Post Rd</t>
  </si>
  <si>
    <t>925 Washburn Switch Rd</t>
  </si>
  <si>
    <t>940 Washburn Switch Rd</t>
  </si>
  <si>
    <t>614 Hwy 200 S</t>
  </si>
  <si>
    <t>Stanfield</t>
  </si>
  <si>
    <t>28163</t>
  </si>
  <si>
    <t>614 NC Hwy 200</t>
  </si>
  <si>
    <t>2369 Charles Roper Jonas Hwy</t>
  </si>
  <si>
    <t>Stanley</t>
  </si>
  <si>
    <t>28164</t>
  </si>
  <si>
    <t>7733 Old Plank Rd</t>
  </si>
  <si>
    <t>101 Old Well House Rd</t>
  </si>
  <si>
    <t>Statesville</t>
  </si>
  <si>
    <t>28677</t>
  </si>
  <si>
    <t>108 Business Park Dr</t>
  </si>
  <si>
    <t>133 Fanjoy Rd</t>
  </si>
  <si>
    <t>28625</t>
  </si>
  <si>
    <t>1401 Industrial Dr</t>
  </si>
  <si>
    <t>149 Crawford Rd</t>
  </si>
  <si>
    <t>149 Water Tank Rd</t>
  </si>
  <si>
    <t>150 Intercraft Dr</t>
  </si>
  <si>
    <t>1515 E Broad St</t>
  </si>
  <si>
    <t>159 Walker Rd</t>
  </si>
  <si>
    <t>28687</t>
  </si>
  <si>
    <t>1634 Salisbury Rd</t>
  </si>
  <si>
    <t>170 Marble Rd</t>
  </si>
  <si>
    <t>178 Orbit Rd</t>
  </si>
  <si>
    <t>190 Wilson Park Rd</t>
  </si>
  <si>
    <t>1903 Weinig St</t>
  </si>
  <si>
    <t>1920 Flintstone Dr</t>
  </si>
  <si>
    <t>214 James Farm Rd</t>
  </si>
  <si>
    <t>2227 Salisbury Hwy</t>
  </si>
  <si>
    <t>2289 Salisbury Rd</t>
  </si>
  <si>
    <t>320 Aviation Dr</t>
  </si>
  <si>
    <t>470 Crawford Rd</t>
  </si>
  <si>
    <t>500 W Broad St</t>
  </si>
  <si>
    <t>535 Conner St</t>
  </si>
  <si>
    <t>607 Meacham Rd</t>
  </si>
  <si>
    <t>613 Sullivan Rd</t>
  </si>
  <si>
    <t>755 Washington Ave</t>
  </si>
  <si>
    <t>828 Wesley Dr</t>
  </si>
  <si>
    <t>135 One Comfortable Pl</t>
  </si>
  <si>
    <t>Taylorsville</t>
  </si>
  <si>
    <t>28681</t>
  </si>
  <si>
    <t>266 Martin Luther King Dr</t>
  </si>
  <si>
    <t>286 County Home Rd</t>
  </si>
  <si>
    <t>3457 Hwy 90 E</t>
  </si>
  <si>
    <t>621 Liledoun Rd</t>
  </si>
  <si>
    <t>700 Liledoun Rd</t>
  </si>
  <si>
    <t>250 Old Murdock Rd</t>
  </si>
  <si>
    <t>Troutman</t>
  </si>
  <si>
    <t>28166</t>
  </si>
  <si>
    <t>350A Old Murdock Rd</t>
  </si>
  <si>
    <t>774 Zeb Rd</t>
  </si>
  <si>
    <t>Union Grove</t>
  </si>
  <si>
    <t>28689</t>
  </si>
  <si>
    <t>114 N Green St, Room 30</t>
  </si>
  <si>
    <t>Wadesboro</t>
  </si>
  <si>
    <t>28170</t>
  </si>
  <si>
    <t>921 E Caswell St</t>
  </si>
  <si>
    <t>Hwy 52 N</t>
  </si>
  <si>
    <t>370 Knollwood St, Suite 500</t>
  </si>
  <si>
    <t>Winston-Salem</t>
  </si>
  <si>
    <t>27103</t>
  </si>
  <si>
    <t>100 Stanley Rd</t>
  </si>
  <si>
    <t>Cheraw</t>
  </si>
  <si>
    <t>29520</t>
  </si>
  <si>
    <t>650 Chesterfield Hwy</t>
  </si>
  <si>
    <t>650 Chesterfield Rd</t>
  </si>
  <si>
    <t>711 Chesterfield Hwy</t>
  </si>
  <si>
    <t>1 Medical Park Dr</t>
  </si>
  <si>
    <t>Chester</t>
  </si>
  <si>
    <t>29706</t>
  </si>
  <si>
    <t>100 W End St</t>
  </si>
  <si>
    <t>109 Hinton St</t>
  </si>
  <si>
    <t>140 Main St</t>
  </si>
  <si>
    <t>1476 JA Cochrane Bypass</t>
  </si>
  <si>
    <t>1497 Lancaster Hwy</t>
  </si>
  <si>
    <t>590 Ecology Ln</t>
  </si>
  <si>
    <t>200 W Main St</t>
  </si>
  <si>
    <t>Chesterfield</t>
  </si>
  <si>
    <t>29709</t>
  </si>
  <si>
    <t>401 West Blvd</t>
  </si>
  <si>
    <t>604 Bethel St</t>
  </si>
  <si>
    <t>Clover</t>
  </si>
  <si>
    <t>29710</t>
  </si>
  <si>
    <t>1201 Main St, Suite 800</t>
  </si>
  <si>
    <t>Columbia</t>
  </si>
  <si>
    <t>29201</t>
  </si>
  <si>
    <t>6044 Lancaster Hwy</t>
  </si>
  <si>
    <t>Fort Lawn</t>
  </si>
  <si>
    <t>29714</t>
  </si>
  <si>
    <t>1 Spice Rd</t>
  </si>
  <si>
    <t>Fort Mill</t>
  </si>
  <si>
    <t>SC</t>
  </si>
  <si>
    <t>29715</t>
  </si>
  <si>
    <t>1000 Retail Dr</t>
  </si>
  <si>
    <t>1014 Maxwell Mill Rd</t>
  </si>
  <si>
    <t>29708</t>
  </si>
  <si>
    <t>1041 521 Corporate Center Dr</t>
  </si>
  <si>
    <t>1092 Wilson Business Pkwy</t>
  </si>
  <si>
    <t>120 E Elliott St</t>
  </si>
  <si>
    <t>125 Fort Mill Pkwy</t>
  </si>
  <si>
    <t>1850 Banks Rd</t>
  </si>
  <si>
    <t>1886 Merritt Rd</t>
  </si>
  <si>
    <t>1962 W Hwy 160</t>
  </si>
  <si>
    <t>2499 Deerfield Dr</t>
  </si>
  <si>
    <t>3023 HSBC Way</t>
  </si>
  <si>
    <t>308 Springhill Farm Rd</t>
  </si>
  <si>
    <t>3318 Lakemont Blvd</t>
  </si>
  <si>
    <t>3358 Highway 51 N</t>
  </si>
  <si>
    <t>3476 Stateview Blvd</t>
  </si>
  <si>
    <t>3545 Center Cir, Suite A</t>
  </si>
  <si>
    <t>355 Crestmont Dr</t>
  </si>
  <si>
    <t>4041 Pleasant Rd</t>
  </si>
  <si>
    <t>440 York Southern Rd</t>
  </si>
  <si>
    <t>534 Rivercrossing Dr</t>
  </si>
  <si>
    <t>605 Munn Rd</t>
  </si>
  <si>
    <t>785 Fort Mill Hwy</t>
  </si>
  <si>
    <t>1872 Hwy 9 Bypass W</t>
  </si>
  <si>
    <t>Lancaster</t>
  </si>
  <si>
    <t>29720</t>
  </si>
  <si>
    <t>2013 W Meeting St</t>
  </si>
  <si>
    <t>300 S Catawba St</t>
  </si>
  <si>
    <t>607 N Main St</t>
  </si>
  <si>
    <t>800 W Meeting St</t>
  </si>
  <si>
    <t>25589 Hwy 1</t>
  </si>
  <si>
    <t>McBee</t>
  </si>
  <si>
    <t>29101</t>
  </si>
  <si>
    <t>1566 Highpoint Church Rd</t>
  </si>
  <si>
    <t>Pageland</t>
  </si>
  <si>
    <t>29728</t>
  </si>
  <si>
    <t>1247 Frederic Dr</t>
  </si>
  <si>
    <t>Richburg</t>
  </si>
  <si>
    <t>29729</t>
  </si>
  <si>
    <t>4374 Lancaster Hwy</t>
  </si>
  <si>
    <t>578B L and C Distribution</t>
  </si>
  <si>
    <t>610 L &amp; C Distribution Park</t>
  </si>
  <si>
    <t>101 Sedgewood Dr</t>
  </si>
  <si>
    <t>Rock Hill</t>
  </si>
  <si>
    <t>29732</t>
  </si>
  <si>
    <t>1146A E White St</t>
  </si>
  <si>
    <t>29730</t>
  </si>
  <si>
    <t>1441 Fire Tower Rd</t>
  </si>
  <si>
    <t>1623 Cedar Line Dr</t>
  </si>
  <si>
    <t>1685 Overview Dr</t>
  </si>
  <si>
    <t>1750 Overview Dr</t>
  </si>
  <si>
    <t>200 Interconnect Dr</t>
  </si>
  <si>
    <t>222 S Herlong Ave</t>
  </si>
  <si>
    <t>2310 Crowder Rd</t>
  </si>
  <si>
    <t>3162 Worthington Way</t>
  </si>
  <si>
    <t>330 E Black St</t>
  </si>
  <si>
    <t>29731</t>
  </si>
  <si>
    <t>361 Charlotte Ave</t>
  </si>
  <si>
    <t>445 Bryant Blvd</t>
  </si>
  <si>
    <t>448 Lakeshore Pkwy, Suite 100</t>
  </si>
  <si>
    <t>452 S Anderson Rd</t>
  </si>
  <si>
    <t>481 Lakeshore Pkwy</t>
  </si>
  <si>
    <t>590 Huey Rd</t>
  </si>
  <si>
    <t>701 Oakland Ave</t>
  </si>
  <si>
    <t>29733</t>
  </si>
  <si>
    <t>725 Cherry Rd, Suite 2686</t>
  </si>
  <si>
    <t>860 Marine Dr</t>
  </si>
  <si>
    <t>10 N Roosevelt St</t>
  </si>
  <si>
    <t>York</t>
  </si>
  <si>
    <t>29745</t>
  </si>
  <si>
    <t>1200 Filbert Hwy</t>
  </si>
  <si>
    <t>200 Ratchford Rd</t>
  </si>
  <si>
    <t>7 Ross Cannon St</t>
  </si>
  <si>
    <t>7780 Park Place Rd</t>
  </si>
  <si>
    <t>7979 Park Place Rd</t>
  </si>
  <si>
    <t>801 Railroad Ave</t>
  </si>
  <si>
    <t>6 Brighton Rd</t>
  </si>
  <si>
    <t>Clifton</t>
  </si>
  <si>
    <t>AZ</t>
  </si>
  <si>
    <t>07015</t>
  </si>
  <si>
    <t>100 Parsons Pond Dr</t>
  </si>
  <si>
    <t>Franklin Lakes</t>
  </si>
  <si>
    <t>07417</t>
  </si>
  <si>
    <t>1 Sylvan Way</t>
  </si>
  <si>
    <t>Parsippany</t>
  </si>
  <si>
    <t>07054</t>
  </si>
  <si>
    <t>650 Liberty Ave</t>
  </si>
  <si>
    <t>Union</t>
  </si>
  <si>
    <t>07083</t>
  </si>
  <si>
    <t>One Geoffrey Way</t>
  </si>
  <si>
    <t>Wayne</t>
  </si>
  <si>
    <t>07470</t>
  </si>
  <si>
    <t>100 Phoenix Dr</t>
  </si>
  <si>
    <t>Ann Arbor</t>
  </si>
  <si>
    <t>MI</t>
  </si>
  <si>
    <t>48108</t>
  </si>
  <si>
    <t>3100 W Big Beaver Rd</t>
  </si>
  <si>
    <t>Troy</t>
  </si>
  <si>
    <t>48084</t>
  </si>
  <si>
    <t>1040 Founders Blvd</t>
  </si>
  <si>
    <t>Athens</t>
  </si>
  <si>
    <t>GA</t>
  </si>
  <si>
    <t>30606</t>
  </si>
  <si>
    <t>3 Ravinia Dr, Suite 2000</t>
  </si>
  <si>
    <t>Atlanta</t>
  </si>
  <si>
    <t>30346</t>
  </si>
  <si>
    <t>5200 Buffington Rd</t>
  </si>
  <si>
    <t>30349</t>
  </si>
  <si>
    <t>8215 Roswell Rd, Bldg 600</t>
  </si>
  <si>
    <t>30350</t>
  </si>
  <si>
    <t>1501D 13th St</t>
  </si>
  <si>
    <t>Columbus</t>
  </si>
  <si>
    <t>31901</t>
  </si>
  <si>
    <t>122 Fifth Ave</t>
  </si>
  <si>
    <t>New York</t>
  </si>
  <si>
    <t>NY</t>
  </si>
  <si>
    <t>10011</t>
  </si>
  <si>
    <t>280 Park Ave</t>
  </si>
  <si>
    <t>10017</t>
  </si>
  <si>
    <t>560 Broadway</t>
  </si>
  <si>
    <t>10012</t>
  </si>
  <si>
    <t>1111 Westchester Avenue</t>
  </si>
  <si>
    <t>White Plains</t>
  </si>
  <si>
    <t>10604</t>
  </si>
  <si>
    <t>2200 Old Germantown Rd</t>
  </si>
  <si>
    <t>Delray Beach</t>
  </si>
  <si>
    <t>FL</t>
  </si>
  <si>
    <t>33445</t>
  </si>
  <si>
    <t>5505 Blue Lagoon</t>
  </si>
  <si>
    <t>Miami</t>
  </si>
  <si>
    <t>33126</t>
  </si>
  <si>
    <t>11540 Hwy 92 E</t>
  </si>
  <si>
    <t>Seffner</t>
  </si>
  <si>
    <t>33584</t>
  </si>
  <si>
    <t>405 N Reo St</t>
  </si>
  <si>
    <t>Tampa</t>
  </si>
  <si>
    <t>33609</t>
  </si>
  <si>
    <t>1441 Gardiner Ln</t>
  </si>
  <si>
    <t>Louisville</t>
  </si>
  <si>
    <t>KY</t>
  </si>
  <si>
    <t>40213</t>
  </si>
  <si>
    <t>2002 Papa Johns Blvd</t>
  </si>
  <si>
    <t>40299</t>
  </si>
  <si>
    <t>1800 F St NW</t>
  </si>
  <si>
    <t>Washington</t>
  </si>
  <si>
    <t>DC</t>
  </si>
  <si>
    <t>20405</t>
  </si>
  <si>
    <t>One Marriott Dr</t>
  </si>
  <si>
    <t>20058</t>
  </si>
  <si>
    <t>19601 N 27th Ave</t>
  </si>
  <si>
    <t>Phoenix</t>
  </si>
  <si>
    <t>85027</t>
  </si>
  <si>
    <t>6201 N 24th Parkway</t>
  </si>
  <si>
    <t>85016</t>
  </si>
  <si>
    <t>9336 Civic Center Dr</t>
  </si>
  <si>
    <t>Beverly Hills</t>
  </si>
  <si>
    <t>CA</t>
  </si>
  <si>
    <t>90210</t>
  </si>
  <si>
    <t>450 N Brand Blvd</t>
  </si>
  <si>
    <t>Glendale</t>
  </si>
  <si>
    <t>91203</t>
  </si>
  <si>
    <t>9330 Balboa Ave</t>
  </si>
  <si>
    <t>San Diego</t>
  </si>
  <si>
    <t>92123</t>
  </si>
  <si>
    <t>2 Folsom St</t>
  </si>
  <si>
    <t>San Francisco</t>
  </si>
  <si>
    <t>94105</t>
  </si>
  <si>
    <t>3333 Beverly Rd</t>
  </si>
  <si>
    <t>Hoffman Estates</t>
  </si>
  <si>
    <t>60179</t>
  </si>
  <si>
    <t>2200 Kensington Ct</t>
  </si>
  <si>
    <t>Oak Brook</t>
  </si>
  <si>
    <t>60523</t>
  </si>
  <si>
    <t>300 Industry Dr</t>
  </si>
  <si>
    <t>Pittsburgh</t>
  </si>
  <si>
    <t>PA</t>
  </si>
  <si>
    <t>15275</t>
  </si>
  <si>
    <t>3038 Sidco Dr</t>
  </si>
  <si>
    <t>Nashville</t>
  </si>
  <si>
    <t>TN</t>
  </si>
  <si>
    <t>37204</t>
  </si>
  <si>
    <t>375 Ghent Rd</t>
  </si>
  <si>
    <t>Akron</t>
  </si>
  <si>
    <t>OH</t>
  </si>
  <si>
    <t>44333</t>
  </si>
  <si>
    <t>3776 S High St</t>
  </si>
  <si>
    <t>43207</t>
  </si>
  <si>
    <t>6301 Fitch Path</t>
  </si>
  <si>
    <t>New Albany</t>
  </si>
  <si>
    <t>43054</t>
  </si>
  <si>
    <t>Four Limited Parkway East</t>
  </si>
  <si>
    <t>Reynoldsburg</t>
  </si>
  <si>
    <t>43068</t>
  </si>
  <si>
    <t>3900 Lakebreeze Ave N</t>
  </si>
  <si>
    <t>Minneapolis</t>
  </si>
  <si>
    <t>MN</t>
  </si>
  <si>
    <t>55429</t>
  </si>
  <si>
    <t>4201 Marsh Ln</t>
  </si>
  <si>
    <t>Carrollton</t>
  </si>
  <si>
    <t>TX</t>
  </si>
  <si>
    <t>75007</t>
  </si>
  <si>
    <t>6820 LBJ Freeway</t>
  </si>
  <si>
    <t>72540</t>
  </si>
  <si>
    <t>9950 Mayland Dr</t>
  </si>
  <si>
    <t>Richmond</t>
  </si>
  <si>
    <t>VA</t>
  </si>
  <si>
    <t>23233</t>
  </si>
  <si>
    <t>(All)</t>
  </si>
  <si>
    <t>Column Labels</t>
  </si>
  <si>
    <t>Row Labels</t>
  </si>
  <si>
    <t>Grand Total</t>
  </si>
  <si>
    <t>Number of Items Sold</t>
  </si>
  <si>
    <t>Revenue</t>
  </si>
  <si>
    <t>Order ID</t>
  </si>
  <si>
    <t>Order Date</t>
  </si>
  <si>
    <t>Employee</t>
  </si>
  <si>
    <t>Customer Name</t>
  </si>
  <si>
    <t>Product Name</t>
  </si>
  <si>
    <t>Sales</t>
  </si>
  <si>
    <t>Employee ID</t>
  </si>
  <si>
    <t>Product ID</t>
  </si>
  <si>
    <t>Customer ID</t>
  </si>
  <si>
    <t>Category</t>
  </si>
  <si>
    <t>Customer</t>
  </si>
  <si>
    <t>State/Province</t>
  </si>
  <si>
    <t>Country/Region</t>
  </si>
  <si>
    <t>Andrew Cencini</t>
  </si>
  <si>
    <t>Company F</t>
  </si>
  <si>
    <t>Candy</t>
  </si>
  <si>
    <t>WI</t>
  </si>
  <si>
    <t>USA</t>
  </si>
  <si>
    <t>Dried Fruit &amp; Nuts</t>
  </si>
  <si>
    <t>Anne Hellung-Larsen</t>
  </si>
  <si>
    <t>Company BB</t>
  </si>
  <si>
    <t>Beverages</t>
  </si>
  <si>
    <t>Company Z</t>
  </si>
  <si>
    <t>Oil</t>
  </si>
  <si>
    <t>Soups</t>
  </si>
  <si>
    <t>Canned Meat</t>
  </si>
  <si>
    <t>Jams, Preserves</t>
  </si>
  <si>
    <t>Company AA</t>
  </si>
  <si>
    <t>NV</t>
  </si>
  <si>
    <t>Company Y</t>
  </si>
  <si>
    <t>Condiments</t>
  </si>
  <si>
    <t>IL</t>
  </si>
  <si>
    <t>Baked Goods &amp; Mixes</t>
  </si>
  <si>
    <t>Company D</t>
  </si>
  <si>
    <t>Jan Kotas</t>
  </si>
  <si>
    <t>Company CC</t>
  </si>
  <si>
    <t>CO</t>
  </si>
  <si>
    <t>Company H</t>
  </si>
  <si>
    <t>OR</t>
  </si>
  <si>
    <t>Grains</t>
  </si>
  <si>
    <t>Laura Giussani</t>
  </si>
  <si>
    <t>Sauces</t>
  </si>
  <si>
    <t>Mariya Sergienko</t>
  </si>
  <si>
    <t>Company C</t>
  </si>
  <si>
    <t>Company L</t>
  </si>
  <si>
    <t>Company J</t>
  </si>
  <si>
    <t>Michael Neipper</t>
  </si>
  <si>
    <t>Dairy Products</t>
  </si>
  <si>
    <t>Nancy Freehafer</t>
  </si>
  <si>
    <t>Canned Fruit &amp; Vegetables</t>
  </si>
  <si>
    <t>Company A</t>
  </si>
  <si>
    <t>WA</t>
  </si>
  <si>
    <t>Company K</t>
  </si>
  <si>
    <t>Robert Zare</t>
  </si>
  <si>
    <t>Company I</t>
  </si>
  <si>
    <t>Pasta</t>
  </si>
  <si>
    <t>UT</t>
  </si>
  <si>
    <t>Chocolate</t>
  </si>
  <si>
    <t>Dried Pears</t>
  </si>
  <si>
    <t>Dried Apples</t>
  </si>
  <si>
    <t xml:space="preserve">Coffee </t>
  </si>
  <si>
    <t>Olive Oil</t>
  </si>
  <si>
    <t>Clam Chowder</t>
  </si>
  <si>
    <t>Crab Meat</t>
  </si>
  <si>
    <t>Boysenberry Spread</t>
  </si>
  <si>
    <t xml:space="preserve">Beer </t>
  </si>
  <si>
    <t>Cajun Seasoning</t>
  </si>
  <si>
    <t xml:space="preserve">Scones </t>
  </si>
  <si>
    <t>Dried Plums</t>
  </si>
  <si>
    <t xml:space="preserve">Marmalade </t>
  </si>
  <si>
    <t>Curry Sauce</t>
  </si>
  <si>
    <t xml:space="preserve">Chai </t>
  </si>
  <si>
    <t>Green Tea</t>
  </si>
  <si>
    <t xml:space="preserve">Syrup </t>
  </si>
  <si>
    <t xml:space="preserve">Almonds </t>
  </si>
  <si>
    <t xml:space="preserve">Mozzarella </t>
  </si>
  <si>
    <t>Fruit Cocktail</t>
  </si>
  <si>
    <t xml:space="preserve">Ravioli </t>
  </si>
  <si>
    <t>Chocolate Biscuits Mix</t>
  </si>
  <si>
    <t>Long Grain Rice</t>
  </si>
  <si>
    <t>Create a pivot table</t>
  </si>
  <si>
    <t>add in values.. Number of items sold</t>
  </si>
  <si>
    <t>For row labels - category</t>
  </si>
  <si>
    <t>Columns - location</t>
  </si>
  <si>
    <t>Show how to move columns to rows and back to columns</t>
  </si>
  <si>
    <t>Add in multiple levels</t>
  </si>
  <si>
    <t>Show subtotals</t>
  </si>
  <si>
    <t>conditional formatting</t>
  </si>
  <si>
    <t>Grand totals</t>
  </si>
  <si>
    <t>report layout</t>
  </si>
  <si>
    <t>blank rows</t>
  </si>
  <si>
    <t>slicer</t>
  </si>
  <si>
    <t>timeline</t>
  </si>
  <si>
    <t>refresh data</t>
  </si>
  <si>
    <t>change data source</t>
  </si>
  <si>
    <t>show +/- buttons</t>
  </si>
  <si>
    <t>show field headers</t>
  </si>
  <si>
    <t>row headers</t>
  </si>
  <si>
    <t>column headers</t>
  </si>
  <si>
    <t>banded rows</t>
  </si>
  <si>
    <t>Banded columns</t>
  </si>
  <si>
    <t>Value field settings</t>
  </si>
  <si>
    <t>Aggregations</t>
  </si>
  <si>
    <t>show how to use the labels drop downs</t>
  </si>
  <si>
    <t>Bakery</t>
  </si>
  <si>
    <t>Create the pivot table</t>
  </si>
  <si>
    <t>collapse/expand</t>
  </si>
  <si>
    <t>Sum of Sales</t>
  </si>
  <si>
    <t>format Pivot</t>
  </si>
  <si>
    <t>format options</t>
  </si>
  <si>
    <t>Northwind Traders</t>
  </si>
  <si>
    <t>rename headers</t>
  </si>
  <si>
    <t>double clicking category heading</t>
  </si>
  <si>
    <t>Double clicking items</t>
  </si>
  <si>
    <t>Setting up data</t>
  </si>
  <si>
    <t>Create PivotTable(Category, Product, State)</t>
  </si>
  <si>
    <t>multiple data points</t>
  </si>
  <si>
    <t>Same data point, different aggregation (sum and count)</t>
  </si>
  <si>
    <t>Final Project</t>
  </si>
  <si>
    <t>Northwind</t>
  </si>
  <si>
    <t xml:space="preserve">northwind traders </t>
  </si>
  <si>
    <t>Chart</t>
  </si>
  <si>
    <t>Create employee sales pivot</t>
  </si>
  <si>
    <t>Create sales by region pivot</t>
  </si>
  <si>
    <t>Create sales by timeline pivot and chart</t>
  </si>
  <si>
    <t>Create timeline</t>
  </si>
  <si>
    <t>Create slicers</t>
  </si>
  <si>
    <t>worksheet</t>
  </si>
  <si>
    <t>Bakery Shop</t>
  </si>
  <si>
    <t>Define types of data, Dimensions, facts, attributes</t>
  </si>
  <si>
    <t>Define Metric.. A fact can be a metric</t>
  </si>
  <si>
    <t>Ensure data is well formatted, no spaces</t>
  </si>
  <si>
    <t>Create a table name</t>
  </si>
  <si>
    <t>show field list + options</t>
  </si>
  <si>
    <t>Products</t>
  </si>
  <si>
    <t>Sum of Items Sold</t>
  </si>
  <si>
    <t>Number Formats</t>
  </si>
  <si>
    <t>Create Northwind Pivot Table</t>
  </si>
  <si>
    <t>Ribbon Commands</t>
  </si>
  <si>
    <t>Create Pivot</t>
  </si>
  <si>
    <t>Baked Goods &amp; Mixes Count</t>
  </si>
  <si>
    <t>Beverages Count</t>
  </si>
  <si>
    <t>Candy Count</t>
  </si>
  <si>
    <t>Canned Fruit &amp; Vegetables Count</t>
  </si>
  <si>
    <t>Canned Meat Count</t>
  </si>
  <si>
    <t>Condiments Count</t>
  </si>
  <si>
    <t>Dairy Products Count</t>
  </si>
  <si>
    <t>Dried Fruit &amp; Nuts Count</t>
  </si>
  <si>
    <t>Grains Count</t>
  </si>
  <si>
    <t>Jams, Preserves Count</t>
  </si>
  <si>
    <t>Oil Count</t>
  </si>
  <si>
    <t>Pasta Count</t>
  </si>
  <si>
    <t>Sauces Count</t>
  </si>
  <si>
    <t>Soups Count</t>
  </si>
  <si>
    <t>Photobug</t>
  </si>
  <si>
    <t>Brightdog</t>
  </si>
  <si>
    <t>Centidel</t>
  </si>
  <si>
    <t>Thoughtblab</t>
  </si>
  <si>
    <t>Digitube</t>
  </si>
  <si>
    <t>Fivebridge</t>
  </si>
  <si>
    <t>Livepath</t>
  </si>
  <si>
    <t>Omba</t>
  </si>
  <si>
    <t>Rhyloo</t>
  </si>
  <si>
    <t>Tanoodle</t>
  </si>
  <si>
    <t>Thoughtworks</t>
  </si>
  <si>
    <t>Trilith</t>
  </si>
  <si>
    <t>Yodel</t>
  </si>
  <si>
    <t>Zoomzone</t>
  </si>
  <si>
    <t>Beverages Sum</t>
  </si>
  <si>
    <t>Candy Sum</t>
  </si>
  <si>
    <t>Dried Fruit &amp; Nuts Sum</t>
  </si>
  <si>
    <t>Sauces Sum</t>
  </si>
  <si>
    <t>Canned Meat Sum</t>
  </si>
  <si>
    <t>Soups Sum</t>
  </si>
  <si>
    <t>Jams, Preserves Sum</t>
  </si>
  <si>
    <t>Oil Sum</t>
  </si>
  <si>
    <t>Baked Goods &amp; Mixes Sum</t>
  </si>
  <si>
    <t>Condiments Sum</t>
  </si>
  <si>
    <t>Grains Sum</t>
  </si>
  <si>
    <t>Canned Fruit &amp; Vegetables Sum</t>
  </si>
  <si>
    <t>Dairy Products Sum</t>
  </si>
  <si>
    <t>Pasta Sum</t>
  </si>
  <si>
    <t>Field Settings</t>
  </si>
  <si>
    <t>Average of Sales</t>
  </si>
  <si>
    <t>Adding Multiple Data Points</t>
  </si>
  <si>
    <t>Add Count of Sales</t>
  </si>
  <si>
    <t>Add Average of Sales</t>
  </si>
  <si>
    <t>Jan</t>
  </si>
  <si>
    <t>Feb</t>
  </si>
  <si>
    <t>Mar</t>
  </si>
  <si>
    <t>Apr</t>
  </si>
  <si>
    <t>May</t>
  </si>
  <si>
    <t>Jun</t>
  </si>
  <si>
    <t>Add Slicers</t>
  </si>
  <si>
    <t>Make room for slicers</t>
  </si>
  <si>
    <t>Add Employee, Customer, and State Slicers</t>
  </si>
  <si>
    <t>Format Slicers</t>
  </si>
  <si>
    <t>Add Timeline</t>
  </si>
  <si>
    <t>Jul</t>
  </si>
  <si>
    <t>Aug</t>
  </si>
  <si>
    <t>Sep</t>
  </si>
  <si>
    <t>Oct</t>
  </si>
  <si>
    <t>Nov</t>
  </si>
  <si>
    <t>Dec</t>
  </si>
  <si>
    <t>Add Second Pivot Table</t>
  </si>
  <si>
    <t>Total Sales</t>
  </si>
  <si>
    <t>Count of Sales</t>
  </si>
  <si>
    <t>Min of Sales</t>
  </si>
  <si>
    <t>Max of Sales</t>
  </si>
  <si>
    <t>Values</t>
  </si>
  <si>
    <t>Total Min of Sales</t>
  </si>
  <si>
    <t>Total Average of Sales</t>
  </si>
  <si>
    <t>Total Max of Sales</t>
  </si>
  <si>
    <t>Table Calculations</t>
  </si>
  <si>
    <t>% of Grand Total</t>
  </si>
  <si>
    <t>% or Row Total</t>
  </si>
  <si>
    <t>% of Column Total</t>
  </si>
  <si>
    <t>Shipped In</t>
  </si>
  <si>
    <t>&lt;1/15/2020</t>
  </si>
  <si>
    <t>&gt;6/24/2020</t>
  </si>
  <si>
    <t>Sum of Revenue</t>
  </si>
  <si>
    <t>heatmap</t>
  </si>
  <si>
    <t>% Difference</t>
  </si>
  <si>
    <t>modify heatmap</t>
  </si>
  <si>
    <t>Running Total</t>
  </si>
  <si>
    <t>% OF</t>
  </si>
  <si>
    <t>Store Location</t>
  </si>
  <si>
    <t>Show all with Items</t>
  </si>
  <si>
    <t>All with Items/ location</t>
  </si>
  <si>
    <t>Format the data bar- padding for number</t>
  </si>
  <si>
    <t>Heat Map</t>
  </si>
  <si>
    <t>Items2</t>
  </si>
  <si>
    <t>...</t>
  </si>
  <si>
    <t>Add a secondary Item field for the number/graphic combo</t>
  </si>
  <si>
    <t xml:space="preserve">Add Icon Sets to show </t>
  </si>
  <si>
    <t>Red, Yellow, Green for your values</t>
  </si>
  <si>
    <r>
      <rPr>
        <sz val="10"/>
        <color rgb="FFFF0000"/>
        <rFont val="Wingdings"/>
        <charset val="2"/>
      </rPr>
      <t>l</t>
    </r>
    <r>
      <rPr>
        <sz val="10"/>
        <rFont val="Arial"/>
      </rPr>
      <t xml:space="preserve"> Red</t>
    </r>
  </si>
  <si>
    <r>
      <rPr>
        <sz val="10"/>
        <color rgb="FF00B050"/>
        <rFont val="Wingdings"/>
        <charset val="2"/>
      </rPr>
      <t>l</t>
    </r>
    <r>
      <rPr>
        <sz val="10"/>
        <rFont val="Arial"/>
      </rPr>
      <t xml:space="preserve"> Green</t>
    </r>
  </si>
  <si>
    <r>
      <rPr>
        <sz val="10"/>
        <color rgb="FFFFFF00"/>
        <rFont val="Wingdings"/>
        <charset val="2"/>
      </rPr>
      <t>l</t>
    </r>
    <r>
      <rPr>
        <sz val="10"/>
        <rFont val="Arial"/>
      </rPr>
      <t xml:space="preserve"> Yellow</t>
    </r>
  </si>
  <si>
    <t>Add a heatmap</t>
  </si>
  <si>
    <t>Add dates and location</t>
  </si>
  <si>
    <t>move location</t>
  </si>
  <si>
    <t>remove subtotals</t>
  </si>
  <si>
    <t>Bakery Sales</t>
  </si>
  <si>
    <t>Totals and Subtotals</t>
  </si>
  <si>
    <t>Multiple Data points</t>
  </si>
  <si>
    <t>Slicers and Timelines</t>
  </si>
  <si>
    <t>Conditional Formatting</t>
  </si>
  <si>
    <t>tBakeryShop</t>
  </si>
  <si>
    <t>Bakery Sales Data</t>
  </si>
  <si>
    <t>Sales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</si>
</sst>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00"/>
    <numFmt numFmtId="165" formatCode="[$-F800]dddd\,\ mmmm\ dd\,\ yyyy"/>
    <numFmt numFmtId="166" formatCode="&quot;$&quot;#,##0.00;\(&quot;$&quot;#,##0.00\)"/>
    <numFmt numFmtId="167" formatCode="&quot;$&quot;#,##0"/>
    <numFmt numFmtId="168" formatCode="mmm\-dd"/>
  </numFmts>
  <fonts count="17">
    <font>
      <sz val="10"/>
      <name val="Arial"/>
    </font>
    <font>
      <sz val="11"/>
      <color theme="1"/>
      <name val="Constantia"/>
      <family val="2"/>
      <scheme val="minor"/>
    </font>
    <font>
      <sz val="8"/>
      <name val="Arial"/>
    </font>
    <font>
      <b/>
      <sz val="10"/>
      <color rgb="FFFFFF00"/>
      <name val="Arial"/>
      <family val="2"/>
    </font>
    <font>
      <u/>
      <sz val="10"/>
      <color theme="10"/>
      <name val="Arial"/>
    </font>
    <font>
      <u/>
      <sz val="10"/>
      <color theme="11"/>
      <name val="Arial"/>
    </font>
    <font>
      <sz val="10"/>
      <color theme="1"/>
      <name val="Arial"/>
    </font>
    <font>
      <b/>
      <sz val="11"/>
      <color theme="0"/>
      <name val="Constantia"/>
      <family val="2"/>
      <scheme val="minor"/>
    </font>
    <font>
      <sz val="10"/>
      <color indexed="8"/>
      <name val="Arial"/>
      <family val="2"/>
    </font>
    <font>
      <b/>
      <sz val="11"/>
      <color indexed="8"/>
      <name val="Calibri"/>
      <family val="2"/>
    </font>
    <font>
      <sz val="11"/>
      <color indexed="8"/>
      <name val="Calibri"/>
      <family val="2"/>
    </font>
    <font>
      <b/>
      <sz val="12"/>
      <name val="Trebuchet MS"/>
      <family val="2"/>
    </font>
    <font>
      <sz val="10"/>
      <name val="Arial"/>
      <family val="2"/>
    </font>
    <font>
      <sz val="10"/>
      <color rgb="FFFF0000"/>
      <name val="Wingdings"/>
      <charset val="2"/>
    </font>
    <font>
      <sz val="10"/>
      <name val="Arial"/>
      <family val="2"/>
      <charset val="2"/>
    </font>
    <font>
      <sz val="10"/>
      <color rgb="FF00B050"/>
      <name val="Wingdings"/>
      <charset val="2"/>
    </font>
    <font>
      <sz val="10"/>
      <color rgb="FFFFFF00"/>
      <name val="Wingdings"/>
      <charset val="2"/>
    </font>
  </fonts>
  <fills count="8">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theme="4"/>
        <bgColor theme="4"/>
      </patternFill>
    </fill>
    <fill>
      <patternFill patternType="solid">
        <fgColor theme="0" tint="-0.14999847407452621"/>
        <bgColor theme="0" tint="-0.14999847407452621"/>
      </patternFill>
    </fill>
    <fill>
      <patternFill patternType="solid">
        <fgColor indexed="22"/>
        <bgColor indexed="0"/>
      </patternFill>
    </fill>
    <fill>
      <patternFill patternType="solid">
        <fgColor theme="9"/>
        <bgColor indexed="64"/>
      </patternFill>
    </fill>
  </fills>
  <borders count="5">
    <border>
      <left/>
      <right/>
      <top/>
      <bottom/>
      <diagonal/>
    </border>
    <border>
      <left/>
      <right/>
      <top style="thin">
        <color theme="4"/>
      </top>
      <bottom/>
      <diagonal/>
    </border>
    <border>
      <left style="thin">
        <color indexed="8"/>
      </left>
      <right/>
      <top style="thin">
        <color indexed="8"/>
      </top>
      <bottom/>
      <diagonal/>
    </border>
    <border>
      <left style="thin">
        <color indexed="22"/>
      </left>
      <right/>
      <top style="thin">
        <color indexed="8"/>
      </top>
      <bottom/>
      <diagonal/>
    </border>
    <border>
      <left style="thin">
        <color indexed="22"/>
      </left>
      <right/>
      <top style="thin">
        <color indexed="22"/>
      </top>
      <bottom/>
      <diagonal/>
    </border>
  </borders>
  <cellStyleXfs count="5">
    <xf numFmtId="0" fontId="0" fillId="0" borderId="0"/>
    <xf numFmtId="0" fontId="1" fillId="0" borderId="0"/>
    <xf numFmtId="0" fontId="4" fillId="0" borderId="0" applyNumberFormat="0" applyFill="0" applyBorder="0" applyAlignment="0" applyProtection="0"/>
    <xf numFmtId="0" fontId="5" fillId="0" borderId="0" applyNumberFormat="0" applyFill="0" applyBorder="0" applyAlignment="0" applyProtection="0"/>
    <xf numFmtId="0" fontId="8" fillId="0" borderId="0"/>
  </cellStyleXfs>
  <cellXfs count="26">
    <xf numFmtId="0" fontId="0" fillId="0" borderId="0" xfId="0"/>
    <xf numFmtId="0" fontId="0" fillId="0" borderId="0" xfId="0" pivotButton="1"/>
    <xf numFmtId="0" fontId="0" fillId="0" borderId="0" xfId="0" applyAlignment="1">
      <alignment horizontal="left"/>
    </xf>
    <xf numFmtId="0" fontId="6" fillId="0" borderId="1" xfId="0" applyFont="1" applyBorder="1"/>
    <xf numFmtId="0" fontId="6" fillId="3" borderId="1" xfId="0" applyFont="1" applyFill="1" applyBorder="1"/>
    <xf numFmtId="0" fontId="3" fillId="2" borderId="0" xfId="0" applyFont="1" applyFill="1"/>
    <xf numFmtId="0" fontId="7" fillId="4" borderId="0" xfId="1" applyFont="1" applyFill="1" applyAlignment="1">
      <alignment horizontal="left"/>
    </xf>
    <xf numFmtId="0" fontId="0" fillId="0" borderId="0" xfId="1" applyFont="1" applyAlignment="1">
      <alignment horizontal="left" wrapText="1"/>
    </xf>
    <xf numFmtId="164" fontId="0" fillId="0" borderId="0" xfId="1" applyNumberFormat="1" applyFont="1" applyAlignment="1">
      <alignment horizontal="left" wrapText="1"/>
    </xf>
    <xf numFmtId="165" fontId="0" fillId="0" borderId="0" xfId="1" applyNumberFormat="1" applyFont="1" applyAlignment="1">
      <alignment horizontal="left" wrapText="1"/>
    </xf>
    <xf numFmtId="0" fontId="9" fillId="6" borderId="2" xfId="4" applyFont="1" applyFill="1" applyBorder="1" applyAlignment="1">
      <alignment horizontal="center"/>
    </xf>
    <xf numFmtId="0" fontId="10" fillId="5" borderId="3" xfId="4" applyFont="1" applyFill="1" applyBorder="1" applyAlignment="1">
      <alignment horizontal="right"/>
    </xf>
    <xf numFmtId="0" fontId="10" fillId="5" borderId="3" xfId="4" applyFont="1" applyFill="1" applyBorder="1"/>
    <xf numFmtId="0" fontId="10" fillId="0" borderId="4" xfId="4" applyFont="1" applyBorder="1"/>
    <xf numFmtId="0" fontId="10" fillId="5" borderId="4" xfId="4" applyFont="1" applyFill="1" applyBorder="1"/>
    <xf numFmtId="14" fontId="0" fillId="0" borderId="0" xfId="0" applyNumberFormat="1"/>
    <xf numFmtId="0" fontId="11" fillId="7" borderId="0" xfId="0" applyFont="1" applyFill="1" applyAlignment="1">
      <alignment horizontal="left"/>
    </xf>
    <xf numFmtId="167" fontId="0" fillId="0" borderId="0" xfId="0" applyNumberFormat="1"/>
    <xf numFmtId="0" fontId="12" fillId="0" borderId="0" xfId="0" applyFont="1"/>
    <xf numFmtId="165" fontId="0" fillId="0" borderId="0" xfId="0" applyNumberFormat="1"/>
    <xf numFmtId="0" fontId="11" fillId="0" borderId="0" xfId="0" applyFont="1" applyAlignment="1">
      <alignment horizontal="left"/>
    </xf>
    <xf numFmtId="0" fontId="0" fillId="0" borderId="0" xfId="0" applyAlignment="1">
      <alignment horizontal="center"/>
    </xf>
    <xf numFmtId="0" fontId="0" fillId="0" borderId="0" xfId="0" applyAlignment="1">
      <alignment horizontal="left" indent="1"/>
    </xf>
    <xf numFmtId="0" fontId="0" fillId="0" borderId="0" xfId="0" applyAlignment="1">
      <alignment horizontal="right"/>
    </xf>
    <xf numFmtId="0" fontId="14" fillId="0" borderId="0" xfId="0" applyFont="1"/>
    <xf numFmtId="168" fontId="0" fillId="0" borderId="0" xfId="0" applyNumberFormat="1"/>
  </cellXfs>
  <cellStyles count="5">
    <cellStyle name="Followed Hyperlink" xfId="3" builtinId="9" hidden="1"/>
    <cellStyle name="Hyperlink" xfId="2" builtinId="8" hidden="1"/>
    <cellStyle name="Normal" xfId="0" builtinId="0"/>
    <cellStyle name="Normal 2" xfId="1" xr:uid="{00000000-0005-0000-0000-000003000000}"/>
    <cellStyle name="Normal_Sheet1" xfId="4" xr:uid="{1D50DAF3-CA21-46FC-8A70-42C6E5F06893}"/>
  </cellStyles>
  <dxfs count="66">
    <dxf>
      <alignment horizontal="left"/>
    </dxf>
    <dxf>
      <alignment horizontal="right"/>
    </dxf>
    <dxf>
      <alignment horizontal="center"/>
    </dxf>
    <dxf>
      <alignment horizontal="center"/>
    </dxf>
    <dxf>
      <alignment horizontal="center"/>
    </dxf>
    <dxf>
      <alignment horizontal="left"/>
    </dxf>
    <dxf>
      <alignment horizontal="right"/>
    </dxf>
    <dxf>
      <alignment horizontal="center"/>
    </dxf>
    <dxf>
      <alignment horizontal="center"/>
    </dxf>
    <dxf>
      <alignment horizontal="center"/>
    </dxf>
    <dxf>
      <alignment horizontal="left"/>
    </dxf>
    <dxf>
      <alignment horizontal="right"/>
    </dxf>
    <dxf>
      <alignment horizontal="center"/>
    </dxf>
    <dxf>
      <alignment horizontal="center"/>
    </dxf>
    <dxf>
      <alignment horizontal="center"/>
    </dxf>
    <dxf>
      <numFmt numFmtId="168" formatCode="mmm\-dd"/>
    </dxf>
    <dxf>
      <numFmt numFmtId="168" formatCode="mmm\-dd"/>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font>
        <b val="0"/>
        <i val="0"/>
        <strike val="0"/>
        <condense val="0"/>
        <extend val="0"/>
        <outline val="0"/>
        <shadow val="0"/>
        <u val="none"/>
        <vertAlign val="baseline"/>
        <sz val="10"/>
        <color theme="1"/>
        <name val="Arial"/>
        <scheme val="none"/>
      </font>
      <border diagonalUp="0" diagonalDown="0">
        <left/>
        <right/>
        <top style="thin">
          <color theme="4"/>
        </top>
        <bottom/>
        <vertical/>
        <horizontal/>
      </border>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0"/>
        <color theme="1"/>
        <name val="Arial"/>
        <scheme val="none"/>
      </font>
    </dxf>
    <dxf>
      <font>
        <b/>
        <i val="0"/>
        <strike val="0"/>
        <condense val="0"/>
        <extend val="0"/>
        <outline val="0"/>
        <shadow val="0"/>
        <u val="none"/>
        <vertAlign val="baseline"/>
        <sz val="10"/>
        <color rgb="FFFFFF00"/>
        <name val="Arial"/>
        <scheme val="none"/>
      </font>
      <fill>
        <patternFill patternType="solid">
          <fgColor indexed="64"/>
          <bgColor theme="3"/>
        </patternFill>
      </fill>
    </dxf>
    <dxf>
      <numFmt numFmtId="168" formatCode="mmm\-dd"/>
    </dxf>
    <dxf>
      <numFmt numFmtId="168" formatCode="mmm\-dd"/>
    </dxf>
    <dxf>
      <alignment horizontal="center"/>
    </dxf>
    <dxf>
      <alignment horizontal="center"/>
    </dxf>
    <dxf>
      <alignment horizontal="center"/>
    </dxf>
    <dxf>
      <alignment horizontal="right"/>
    </dxf>
    <dxf>
      <alignment horizontal="left"/>
    </dxf>
    <dxf>
      <alignment horizontal="center"/>
    </dxf>
    <dxf>
      <alignment horizontal="center"/>
    </dxf>
    <dxf>
      <alignment horizontal="center"/>
    </dxf>
    <dxf>
      <alignment horizontal="right"/>
    </dxf>
    <dxf>
      <alignment horizontal="lef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10"/>
        <color auto="1"/>
        <name val="Arial"/>
        <scheme val="none"/>
      </font>
      <numFmt numFmtId="165" formatCode="[$-F800]dddd\,\ mmmm\ dd\,\ yyyy"/>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164" formatCode="&quot;$&quot;#,##0.00"/>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164" formatCode="&quot;$&quot;#,##0.00"/>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left" vertical="bottom" textRotation="0" wrapText="1" indent="0" justifyLastLine="0" shrinkToFit="0" readingOrder="0"/>
    </dxf>
    <dxf>
      <font>
        <b/>
        <i val="0"/>
        <strike val="0"/>
        <condense val="0"/>
        <extend val="0"/>
        <outline val="0"/>
        <shadow val="0"/>
        <u val="none"/>
        <vertAlign val="baseline"/>
        <sz val="11"/>
        <color theme="0"/>
        <name val="Constantia"/>
        <family val="2"/>
        <scheme val="minor"/>
      </font>
      <fill>
        <patternFill patternType="solid">
          <fgColor theme="4"/>
          <bgColor theme="4"/>
        </patternFill>
      </fill>
      <alignment horizontal="left" vertical="bottom" textRotation="0" wrapText="0" indent="0" justifyLastLine="0" shrinkToFit="0" readingOrder="0"/>
    </dxf>
    <dxf>
      <fill>
        <patternFill patternType="none">
          <fgColor indexed="64"/>
          <bgColor auto="1"/>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s>
  <tableStyles count="3" defaultTableStyle="TableStyleMedium9" defaultPivotStyle="PivotStyleLight16">
    <tableStyle name="PivotTable Style 1" table="0" count="2" xr9:uid="{00000000-0011-0000-FFFF-FFFF00000000}">
      <tableStyleElement type="firstRowStripe" size="3"/>
      <tableStyleElement type="secondRowStripe" size="4"/>
    </tableStyle>
    <tableStyle name="PivotTable Style 2" table="0" count="0" xr9:uid="{00000000-0011-0000-FFFF-FFFF01000000}"/>
    <tableStyle name="PivotTableLight3Band" table="0" count="10" xr9:uid="{00000000-0011-0000-FFFF-FFFF02000000}">
      <tableStyleElement type="headerRow" dxfId="65"/>
      <tableStyleElement type="totalRow" dxfId="64"/>
      <tableStyleElement type="firstRowStripe" size="3" dxfId="63"/>
      <tableStyleElement type="secondRowStripe" size="3"/>
      <tableStyleElement type="firstSubtotalRow" dxfId="62"/>
      <tableStyleElement type="secondSubtotalRow" dxfId="61"/>
      <tableStyleElement type="firstRowSubheading" dxfId="60"/>
      <tableStyleElement type="secondRowSubheading" dxfId="59"/>
      <tableStyleElement type="pageFieldLabels" dxfId="58"/>
      <tableStyleElement type="pageFieldValues" dxfId="5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microsoft.com/office/2011/relationships/timelineCache" Target="timelineCaches/timelineCache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microsoft.com/office/2007/relationships/slicerCache" Target="slicerCaches/slicerCache4.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microsoft.com/office/2007/relationships/slicerCache" Target="slicerCaches/slicerCache6.xml"/><Relationship Id="rId35" Type="http://schemas.openxmlformats.org/officeDocument/2006/relationships/sharedStrings" Target="sharedStrings.xml"/><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editAs="absolute">
    <xdr:from>
      <xdr:col>0</xdr:col>
      <xdr:colOff>200025</xdr:colOff>
      <xdr:row>0</xdr:row>
      <xdr:rowOff>114300</xdr:rowOff>
    </xdr:from>
    <xdr:to>
      <xdr:col>3</xdr:col>
      <xdr:colOff>1029798</xdr:colOff>
      <xdr:row>4</xdr:row>
      <xdr:rowOff>76200</xdr:rowOff>
    </xdr:to>
    <xdr:sp macro="" textlink="">
      <xdr:nvSpPr>
        <xdr:cNvPr id="2" name="Rounded Rectangle 1">
          <a:extLst>
            <a:ext uri="{FF2B5EF4-FFF2-40B4-BE49-F238E27FC236}">
              <a16:creationId xmlns:a16="http://schemas.microsoft.com/office/drawing/2014/main" id="{DF4A67F6-65D2-45D4-A30D-8AD8401BBCA5}"/>
            </a:ext>
          </a:extLst>
        </xdr:cNvPr>
        <xdr:cNvSpPr/>
      </xdr:nvSpPr>
      <xdr:spPr>
        <a:xfrm>
          <a:off x="200025" y="114300"/>
          <a:ext cx="2772873" cy="609600"/>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Introduction to</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Pivottables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477348</xdr:colOff>
      <xdr:row>0</xdr:row>
      <xdr:rowOff>40298</xdr:rowOff>
    </xdr:from>
    <xdr:to>
      <xdr:col>3</xdr:col>
      <xdr:colOff>153497</xdr:colOff>
      <xdr:row>3</xdr:row>
      <xdr:rowOff>1799</xdr:rowOff>
    </xdr:to>
    <xdr:sp macro="" textlink="">
      <xdr:nvSpPr>
        <xdr:cNvPr id="6" name="Rounded Rectangle 1">
          <a:extLst>
            <a:ext uri="{FF2B5EF4-FFF2-40B4-BE49-F238E27FC236}">
              <a16:creationId xmlns:a16="http://schemas.microsoft.com/office/drawing/2014/main" id="{0B69B543-0EA4-4C5A-90C4-8D4B0DA5536F}"/>
            </a:ext>
          </a:extLst>
        </xdr:cNvPr>
        <xdr:cNvSpPr/>
      </xdr:nvSpPr>
      <xdr:spPr>
        <a:xfrm>
          <a:off x="477348" y="40298"/>
          <a:ext cx="2761151" cy="445078"/>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Build A PivotTable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477349</xdr:colOff>
      <xdr:row>0</xdr:row>
      <xdr:rowOff>40298</xdr:rowOff>
    </xdr:from>
    <xdr:to>
      <xdr:col>1</xdr:col>
      <xdr:colOff>1502740</xdr:colOff>
      <xdr:row>3</xdr:row>
      <xdr:rowOff>1799</xdr:rowOff>
    </xdr:to>
    <xdr:sp macro="" textlink="">
      <xdr:nvSpPr>
        <xdr:cNvPr id="2" name="Rounded Rectangle 1">
          <a:extLst>
            <a:ext uri="{FF2B5EF4-FFF2-40B4-BE49-F238E27FC236}">
              <a16:creationId xmlns:a16="http://schemas.microsoft.com/office/drawing/2014/main" id="{0EDC0A24-4047-4D25-9E80-9FEE0D0E614C}"/>
            </a:ext>
          </a:extLst>
        </xdr:cNvPr>
        <xdr:cNvSpPr/>
      </xdr:nvSpPr>
      <xdr:spPr>
        <a:xfrm>
          <a:off x="477349" y="40298"/>
          <a:ext cx="2350842" cy="447276"/>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Pivot Formatting</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477349</xdr:colOff>
      <xdr:row>0</xdr:row>
      <xdr:rowOff>40298</xdr:rowOff>
    </xdr:from>
    <xdr:to>
      <xdr:col>1</xdr:col>
      <xdr:colOff>1638661</xdr:colOff>
      <xdr:row>3</xdr:row>
      <xdr:rowOff>1799</xdr:rowOff>
    </xdr:to>
    <xdr:sp macro="" textlink="">
      <xdr:nvSpPr>
        <xdr:cNvPr id="2" name="Rounded Rectangle 1">
          <a:extLst>
            <a:ext uri="{FF2B5EF4-FFF2-40B4-BE49-F238E27FC236}">
              <a16:creationId xmlns:a16="http://schemas.microsoft.com/office/drawing/2014/main" id="{F5DD45F9-ED76-4486-A833-78D0D0F42DAF}"/>
            </a:ext>
          </a:extLst>
        </xdr:cNvPr>
        <xdr:cNvSpPr/>
      </xdr:nvSpPr>
      <xdr:spPr>
        <a:xfrm>
          <a:off x="477349" y="40298"/>
          <a:ext cx="2390037" cy="447276"/>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Pivot Formatting</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3</xdr:col>
      <xdr:colOff>278050</xdr:colOff>
      <xdr:row>3</xdr:row>
      <xdr:rowOff>1799</xdr:rowOff>
    </xdr:to>
    <xdr:sp macro="" textlink="">
      <xdr:nvSpPr>
        <xdr:cNvPr id="2" name="Rounded Rectangle 1">
          <a:extLst>
            <a:ext uri="{FF2B5EF4-FFF2-40B4-BE49-F238E27FC236}">
              <a16:creationId xmlns:a16="http://schemas.microsoft.com/office/drawing/2014/main" id="{5CC157E1-D972-44BD-AE37-FC8EF760D8F5}"/>
            </a:ext>
          </a:extLst>
        </xdr:cNvPr>
        <xdr:cNvSpPr/>
      </xdr:nvSpPr>
      <xdr:spPr>
        <a:xfrm>
          <a:off x="351693" y="40298"/>
          <a:ext cx="2839182" cy="440316"/>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Value Field Settings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3</xdr:col>
      <xdr:colOff>275853</xdr:colOff>
      <xdr:row>3</xdr:row>
      <xdr:rowOff>1799</xdr:rowOff>
    </xdr:to>
    <xdr:sp macro="" textlink="">
      <xdr:nvSpPr>
        <xdr:cNvPr id="2" name="Rounded Rectangle 1">
          <a:extLst>
            <a:ext uri="{FF2B5EF4-FFF2-40B4-BE49-F238E27FC236}">
              <a16:creationId xmlns:a16="http://schemas.microsoft.com/office/drawing/2014/main" id="{B7E3EC30-E387-47ED-80F9-B5629CD31C13}"/>
            </a:ext>
          </a:extLst>
        </xdr:cNvPr>
        <xdr:cNvSpPr/>
      </xdr:nvSpPr>
      <xdr:spPr>
        <a:xfrm>
          <a:off x="351693" y="40298"/>
          <a:ext cx="2837717" cy="441781"/>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UPDATE DATA</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4</xdr:col>
      <xdr:colOff>87922</xdr:colOff>
      <xdr:row>3</xdr:row>
      <xdr:rowOff>1799</xdr:rowOff>
    </xdr:to>
    <xdr:sp macro="" textlink="">
      <xdr:nvSpPr>
        <xdr:cNvPr id="2" name="Rounded Rectangle 1">
          <a:extLst>
            <a:ext uri="{FF2B5EF4-FFF2-40B4-BE49-F238E27FC236}">
              <a16:creationId xmlns:a16="http://schemas.microsoft.com/office/drawing/2014/main" id="{E0133691-C88E-4B10-841B-3A61A1450D7E}"/>
            </a:ext>
          </a:extLst>
        </xdr:cNvPr>
        <xdr:cNvSpPr/>
      </xdr:nvSpPr>
      <xdr:spPr>
        <a:xfrm>
          <a:off x="351693" y="40298"/>
          <a:ext cx="2838816" cy="441781"/>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Value Field Settings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1</xdr:col>
      <xdr:colOff>1113692</xdr:colOff>
      <xdr:row>2</xdr:row>
      <xdr:rowOff>158229</xdr:rowOff>
    </xdr:to>
    <xdr:sp macro="" textlink="">
      <xdr:nvSpPr>
        <xdr:cNvPr id="2" name="Rounded Rectangle 1">
          <a:extLst>
            <a:ext uri="{FF2B5EF4-FFF2-40B4-BE49-F238E27FC236}">
              <a16:creationId xmlns:a16="http://schemas.microsoft.com/office/drawing/2014/main" id="{D521A99C-5132-418C-9BF6-14059DA8CF03}"/>
            </a:ext>
          </a:extLst>
        </xdr:cNvPr>
        <xdr:cNvSpPr/>
      </xdr:nvSpPr>
      <xdr:spPr>
        <a:xfrm>
          <a:off x="351693" y="40298"/>
          <a:ext cx="2836251" cy="441781"/>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Multiple Data Points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351693</xdr:colOff>
      <xdr:row>0</xdr:row>
      <xdr:rowOff>40298</xdr:rowOff>
    </xdr:from>
    <xdr:to>
      <xdr:col>1</xdr:col>
      <xdr:colOff>1005986</xdr:colOff>
      <xdr:row>2</xdr:row>
      <xdr:rowOff>158229</xdr:rowOff>
    </xdr:to>
    <xdr:sp macro="" textlink="">
      <xdr:nvSpPr>
        <xdr:cNvPr id="2" name="Rounded Rectangle 1">
          <a:extLst>
            <a:ext uri="{FF2B5EF4-FFF2-40B4-BE49-F238E27FC236}">
              <a16:creationId xmlns:a16="http://schemas.microsoft.com/office/drawing/2014/main" id="{0BC0AF7F-2186-4A37-9148-F8CB72B6AA09}"/>
            </a:ext>
          </a:extLst>
        </xdr:cNvPr>
        <xdr:cNvSpPr/>
      </xdr:nvSpPr>
      <xdr:spPr>
        <a:xfrm>
          <a:off x="351693" y="40298"/>
          <a:ext cx="2838449" cy="441781"/>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Slicers and Timelines</a:t>
          </a:r>
        </a:p>
      </xdr:txBody>
    </xdr:sp>
    <xdr:clientData/>
  </xdr:twoCellAnchor>
  <xdr:twoCellAnchor editAs="oneCell">
    <xdr:from>
      <xdr:col>6</xdr:col>
      <xdr:colOff>53121</xdr:colOff>
      <xdr:row>8</xdr:row>
      <xdr:rowOff>66677</xdr:rowOff>
    </xdr:from>
    <xdr:to>
      <xdr:col>10</xdr:col>
      <xdr:colOff>314325</xdr:colOff>
      <xdr:row>8</xdr:row>
      <xdr:rowOff>1228725</xdr:rowOff>
    </xdr:to>
    <mc:AlternateContent xmlns:mc="http://schemas.openxmlformats.org/markup-compatibility/2006" xmlns:a14="http://schemas.microsoft.com/office/drawing/2010/main">
      <mc:Choice Requires="a14">
        <xdr:graphicFrame macro="">
          <xdr:nvGraphicFramePr>
            <xdr:cNvPr id="4" name="Employee">
              <a:extLst>
                <a:ext uri="{FF2B5EF4-FFF2-40B4-BE49-F238E27FC236}">
                  <a16:creationId xmlns:a16="http://schemas.microsoft.com/office/drawing/2014/main" id="{01A2A34F-1F1F-8BCC-F0FE-2E96FA59AE8B}"/>
                </a:ext>
              </a:extLst>
            </xdr:cNvPr>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mlns="">
        <xdr:sp macro="" textlink="">
          <xdr:nvSpPr>
            <xdr:cNvPr id="0" name=""/>
            <xdr:cNvSpPr>
              <a:spLocks noTextEdit="1"/>
            </xdr:cNvSpPr>
          </xdr:nvSpPr>
          <xdr:spPr>
            <a:xfrm>
              <a:off x="7187346" y="1428752"/>
              <a:ext cx="3766404" cy="11620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133716</xdr:colOff>
      <xdr:row>8</xdr:row>
      <xdr:rowOff>352056</xdr:rowOff>
    </xdr:from>
    <xdr:to>
      <xdr:col>0</xdr:col>
      <xdr:colOff>1895476</xdr:colOff>
      <xdr:row>28</xdr:row>
      <xdr:rowOff>85724</xdr:rowOff>
    </xdr:to>
    <mc:AlternateContent xmlns:mc="http://schemas.openxmlformats.org/markup-compatibility/2006" xmlns:a14="http://schemas.microsoft.com/office/drawing/2010/main">
      <mc:Choice Requires="a14">
        <xdr:graphicFrame macro="">
          <xdr:nvGraphicFramePr>
            <xdr:cNvPr id="5" name="Customer Name">
              <a:extLst>
                <a:ext uri="{FF2B5EF4-FFF2-40B4-BE49-F238E27FC236}">
                  <a16:creationId xmlns:a16="http://schemas.microsoft.com/office/drawing/2014/main" id="{4433FE82-DFFF-3E4F-39D5-2FE1C7F1F0B1}"/>
                </a:ext>
              </a:extLst>
            </xdr:cNvPr>
            <xdr:cNvGraphicFramePr/>
          </xdr:nvGraphicFramePr>
          <xdr:xfrm>
            <a:off x="0" y="0"/>
            <a:ext cx="0" cy="0"/>
          </xdr:xfrm>
          <a:graphic>
            <a:graphicData uri="http://schemas.microsoft.com/office/drawing/2010/slicer">
              <sle:slicer xmlns:sle="http://schemas.microsoft.com/office/drawing/2010/slicer" name="Customer Name"/>
            </a:graphicData>
          </a:graphic>
        </xdr:graphicFrame>
      </mc:Choice>
      <mc:Fallback xmlns="">
        <xdr:sp macro="" textlink="">
          <xdr:nvSpPr>
            <xdr:cNvPr id="0" name=""/>
            <xdr:cNvSpPr>
              <a:spLocks noTextEdit="1"/>
            </xdr:cNvSpPr>
          </xdr:nvSpPr>
          <xdr:spPr>
            <a:xfrm>
              <a:off x="133716" y="1664389"/>
              <a:ext cx="1761760" cy="41786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457200</xdr:colOff>
      <xdr:row>8</xdr:row>
      <xdr:rowOff>82795</xdr:rowOff>
    </xdr:from>
    <xdr:to>
      <xdr:col>13</xdr:col>
      <xdr:colOff>114300</xdr:colOff>
      <xdr:row>8</xdr:row>
      <xdr:rowOff>1228725</xdr:rowOff>
    </xdr:to>
    <mc:AlternateContent xmlns:mc="http://schemas.openxmlformats.org/markup-compatibility/2006" xmlns:a14="http://schemas.microsoft.com/office/drawing/2010/main">
      <mc:Choice Requires="a14">
        <xdr:graphicFrame macro="">
          <xdr:nvGraphicFramePr>
            <xdr:cNvPr id="6" name="State/Province">
              <a:extLst>
                <a:ext uri="{FF2B5EF4-FFF2-40B4-BE49-F238E27FC236}">
                  <a16:creationId xmlns:a16="http://schemas.microsoft.com/office/drawing/2014/main" id="{D91CABCC-6C3E-BC07-3D6D-EF5A83437D6B}"/>
                </a:ext>
              </a:extLst>
            </xdr:cNvPr>
            <xdr:cNvGraphicFramePr/>
          </xdr:nvGraphicFramePr>
          <xdr:xfrm>
            <a:off x="0" y="0"/>
            <a:ext cx="0" cy="0"/>
          </xdr:xfrm>
          <a:graphic>
            <a:graphicData uri="http://schemas.microsoft.com/office/drawing/2010/slicer">
              <sle:slicer xmlns:sle="http://schemas.microsoft.com/office/drawing/2010/slicer" name="State/Province"/>
            </a:graphicData>
          </a:graphic>
        </xdr:graphicFrame>
      </mc:Choice>
      <mc:Fallback xmlns="">
        <xdr:sp macro="" textlink="">
          <xdr:nvSpPr>
            <xdr:cNvPr id="0" name=""/>
            <xdr:cNvSpPr>
              <a:spLocks noTextEdit="1"/>
            </xdr:cNvSpPr>
          </xdr:nvSpPr>
          <xdr:spPr>
            <a:xfrm>
              <a:off x="11096625" y="1444870"/>
              <a:ext cx="2286000" cy="11459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71437</xdr:colOff>
      <xdr:row>8</xdr:row>
      <xdr:rowOff>100012</xdr:rowOff>
    </xdr:from>
    <xdr:to>
      <xdr:col>5</xdr:col>
      <xdr:colOff>776288</xdr:colOff>
      <xdr:row>8</xdr:row>
      <xdr:rowOff>1233488</xdr:rowOff>
    </xdr:to>
    <mc:AlternateContent xmlns:mc="http://schemas.openxmlformats.org/markup-compatibility/2006" xmlns:tsle="http://schemas.microsoft.com/office/drawing/2012/timeslicer">
      <mc:Choice Requires="tsle">
        <xdr:graphicFrame macro="">
          <xdr:nvGraphicFramePr>
            <xdr:cNvPr id="7" name="Order Date">
              <a:extLst>
                <a:ext uri="{FF2B5EF4-FFF2-40B4-BE49-F238E27FC236}">
                  <a16:creationId xmlns:a16="http://schemas.microsoft.com/office/drawing/2014/main" id="{EAB4CD76-96A9-6AFE-6E51-3F5726B370FF}"/>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2266950" y="1428750"/>
              <a:ext cx="5214938" cy="113347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38099</xdr:colOff>
      <xdr:row>0</xdr:row>
      <xdr:rowOff>57151</xdr:rowOff>
    </xdr:from>
    <xdr:to>
      <xdr:col>4</xdr:col>
      <xdr:colOff>28574</xdr:colOff>
      <xdr:row>0</xdr:row>
      <xdr:rowOff>1219201</xdr:rowOff>
    </xdr:to>
    <mc:AlternateContent xmlns:mc="http://schemas.openxmlformats.org/markup-compatibility/2006" xmlns:a14="http://schemas.microsoft.com/office/drawing/2010/main">
      <mc:Choice Requires="a14">
        <xdr:graphicFrame macro="">
          <xdr:nvGraphicFramePr>
            <xdr:cNvPr id="16" name="Employee 1">
              <a:extLst>
                <a:ext uri="{FF2B5EF4-FFF2-40B4-BE49-F238E27FC236}">
                  <a16:creationId xmlns:a16="http://schemas.microsoft.com/office/drawing/2014/main" id="{B4B0512E-BE90-9993-BCA7-CDC1A39B556B}"/>
                </a:ext>
              </a:extLst>
            </xdr:cNvPr>
            <xdr:cNvGraphicFramePr/>
          </xdr:nvGraphicFramePr>
          <xdr:xfrm>
            <a:off x="0" y="0"/>
            <a:ext cx="0" cy="0"/>
          </xdr:xfrm>
          <a:graphic>
            <a:graphicData uri="http://schemas.microsoft.com/office/drawing/2010/slicer">
              <sle:slicer xmlns:sle="http://schemas.microsoft.com/office/drawing/2010/slicer" name="Employee 1"/>
            </a:graphicData>
          </a:graphic>
        </xdr:graphicFrame>
      </mc:Choice>
      <mc:Fallback xmlns="">
        <xdr:sp macro="" textlink="">
          <xdr:nvSpPr>
            <xdr:cNvPr id="0" name=""/>
            <xdr:cNvSpPr>
              <a:spLocks noTextEdit="1"/>
            </xdr:cNvSpPr>
          </xdr:nvSpPr>
          <xdr:spPr>
            <a:xfrm>
              <a:off x="3067049" y="57151"/>
              <a:ext cx="5057775"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142874</xdr:colOff>
      <xdr:row>0</xdr:row>
      <xdr:rowOff>76200</xdr:rowOff>
    </xdr:from>
    <xdr:to>
      <xdr:col>0</xdr:col>
      <xdr:colOff>2571749</xdr:colOff>
      <xdr:row>0</xdr:row>
      <xdr:rowOff>2657475</xdr:rowOff>
    </xdr:to>
    <mc:AlternateContent xmlns:mc="http://schemas.openxmlformats.org/markup-compatibility/2006" xmlns:a14="http://schemas.microsoft.com/office/drawing/2010/main">
      <mc:Choice Requires="a14">
        <xdr:graphicFrame macro="">
          <xdr:nvGraphicFramePr>
            <xdr:cNvPr id="17" name="Customer Name 1">
              <a:extLst>
                <a:ext uri="{FF2B5EF4-FFF2-40B4-BE49-F238E27FC236}">
                  <a16:creationId xmlns:a16="http://schemas.microsoft.com/office/drawing/2014/main" id="{F9759FFF-3BE3-482D-2C8A-882EB0B5A4E1}"/>
                </a:ext>
              </a:extLst>
            </xdr:cNvPr>
            <xdr:cNvGraphicFramePr/>
          </xdr:nvGraphicFramePr>
          <xdr:xfrm>
            <a:off x="0" y="0"/>
            <a:ext cx="0" cy="0"/>
          </xdr:xfrm>
          <a:graphic>
            <a:graphicData uri="http://schemas.microsoft.com/office/drawing/2010/slicer">
              <sle:slicer xmlns:sle="http://schemas.microsoft.com/office/drawing/2010/slicer" name="Customer Name 1"/>
            </a:graphicData>
          </a:graphic>
        </xdr:graphicFrame>
      </mc:Choice>
      <mc:Fallback xmlns="">
        <xdr:sp macro="" textlink="">
          <xdr:nvSpPr>
            <xdr:cNvPr id="0" name=""/>
            <xdr:cNvSpPr>
              <a:spLocks noTextEdit="1"/>
            </xdr:cNvSpPr>
          </xdr:nvSpPr>
          <xdr:spPr>
            <a:xfrm>
              <a:off x="142874" y="76200"/>
              <a:ext cx="2428875"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104775</xdr:colOff>
      <xdr:row>0</xdr:row>
      <xdr:rowOff>47626</xdr:rowOff>
    </xdr:from>
    <xdr:to>
      <xdr:col>8</xdr:col>
      <xdr:colOff>1</xdr:colOff>
      <xdr:row>0</xdr:row>
      <xdr:rowOff>1200150</xdr:rowOff>
    </xdr:to>
    <mc:AlternateContent xmlns:mc="http://schemas.openxmlformats.org/markup-compatibility/2006" xmlns:a14="http://schemas.microsoft.com/office/drawing/2010/main">
      <mc:Choice Requires="a14">
        <xdr:graphicFrame macro="">
          <xdr:nvGraphicFramePr>
            <xdr:cNvPr id="19" name="State/Province 1">
              <a:extLst>
                <a:ext uri="{FF2B5EF4-FFF2-40B4-BE49-F238E27FC236}">
                  <a16:creationId xmlns:a16="http://schemas.microsoft.com/office/drawing/2014/main" id="{35800DC3-567A-7AE3-0F33-4C6699B015B8}"/>
                </a:ext>
              </a:extLst>
            </xdr:cNvPr>
            <xdr:cNvGraphicFramePr/>
          </xdr:nvGraphicFramePr>
          <xdr:xfrm>
            <a:off x="0" y="0"/>
            <a:ext cx="0" cy="0"/>
          </xdr:xfrm>
          <a:graphic>
            <a:graphicData uri="http://schemas.microsoft.com/office/drawing/2010/slicer">
              <sle:slicer xmlns:sle="http://schemas.microsoft.com/office/drawing/2010/slicer" name="State/Province 1"/>
            </a:graphicData>
          </a:graphic>
        </xdr:graphicFrame>
      </mc:Choice>
      <mc:Fallback xmlns="">
        <xdr:sp macro="" textlink="">
          <xdr:nvSpPr>
            <xdr:cNvPr id="0" name=""/>
            <xdr:cNvSpPr>
              <a:spLocks noTextEdit="1"/>
            </xdr:cNvSpPr>
          </xdr:nvSpPr>
          <xdr:spPr>
            <a:xfrm>
              <a:off x="8201024" y="47626"/>
              <a:ext cx="4724401" cy="1152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28575</xdr:colOff>
      <xdr:row>0</xdr:row>
      <xdr:rowOff>1285875</xdr:rowOff>
    </xdr:from>
    <xdr:to>
      <xdr:col>7</xdr:col>
      <xdr:colOff>690563</xdr:colOff>
      <xdr:row>0</xdr:row>
      <xdr:rowOff>2657475</xdr:rowOff>
    </xdr:to>
    <mc:AlternateContent xmlns:mc="http://schemas.openxmlformats.org/markup-compatibility/2006" xmlns:tsle="http://schemas.microsoft.com/office/drawing/2012/timeslicer">
      <mc:Choice Requires="tsle">
        <xdr:graphicFrame macro="">
          <xdr:nvGraphicFramePr>
            <xdr:cNvPr id="20" name="Order Date 1">
              <a:extLst>
                <a:ext uri="{FF2B5EF4-FFF2-40B4-BE49-F238E27FC236}">
                  <a16:creationId xmlns:a16="http://schemas.microsoft.com/office/drawing/2014/main" id="{EEAB6DAC-5833-DFFC-7D94-94DE959B6EA4}"/>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3057525" y="1285875"/>
              <a:ext cx="990600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295275</xdr:colOff>
      <xdr:row>0</xdr:row>
      <xdr:rowOff>142875</xdr:rowOff>
    </xdr:from>
    <xdr:to>
      <xdr:col>0</xdr:col>
      <xdr:colOff>3562351</xdr:colOff>
      <xdr:row>5</xdr:row>
      <xdr:rowOff>66675</xdr:rowOff>
    </xdr:to>
    <xdr:sp macro="" textlink="">
      <xdr:nvSpPr>
        <xdr:cNvPr id="2" name="Rounded Rectangle 1">
          <a:extLst>
            <a:ext uri="{FF2B5EF4-FFF2-40B4-BE49-F238E27FC236}">
              <a16:creationId xmlns:a16="http://schemas.microsoft.com/office/drawing/2014/main" id="{94C60FC1-BD26-4C64-B711-41419A004599}"/>
            </a:ext>
          </a:extLst>
        </xdr:cNvPr>
        <xdr:cNvSpPr/>
      </xdr:nvSpPr>
      <xdr:spPr>
        <a:xfrm>
          <a:off x="295275" y="142875"/>
          <a:ext cx="3267076" cy="733425"/>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Conditional Formatting PivotTable Edition</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295275</xdr:colOff>
      <xdr:row>0</xdr:row>
      <xdr:rowOff>142875</xdr:rowOff>
    </xdr:from>
    <xdr:to>
      <xdr:col>0</xdr:col>
      <xdr:colOff>3562351</xdr:colOff>
      <xdr:row>5</xdr:row>
      <xdr:rowOff>66675</xdr:rowOff>
    </xdr:to>
    <xdr:sp macro="" textlink="">
      <xdr:nvSpPr>
        <xdr:cNvPr id="2" name="Rounded Rectangle 1">
          <a:extLst>
            <a:ext uri="{FF2B5EF4-FFF2-40B4-BE49-F238E27FC236}">
              <a16:creationId xmlns:a16="http://schemas.microsoft.com/office/drawing/2014/main" id="{B14786A8-CE7F-4591-9AD7-4AF36D3EF573}"/>
            </a:ext>
          </a:extLst>
        </xdr:cNvPr>
        <xdr:cNvSpPr/>
      </xdr:nvSpPr>
      <xdr:spPr>
        <a:xfrm>
          <a:off x="295275" y="142875"/>
          <a:ext cx="3267076" cy="733425"/>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Conditional Formatting PivotTable Edition</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49998</xdr:colOff>
      <xdr:row>0</xdr:row>
      <xdr:rowOff>56863</xdr:rowOff>
    </xdr:from>
    <xdr:to>
      <xdr:col>2</xdr:col>
      <xdr:colOff>331303</xdr:colOff>
      <xdr:row>3</xdr:row>
      <xdr:rowOff>17631</xdr:rowOff>
    </xdr:to>
    <xdr:sp macro="" textlink="">
      <xdr:nvSpPr>
        <xdr:cNvPr id="2" name="Rounded Rectangle 1">
          <a:extLst>
            <a:ext uri="{FF2B5EF4-FFF2-40B4-BE49-F238E27FC236}">
              <a16:creationId xmlns:a16="http://schemas.microsoft.com/office/drawing/2014/main" id="{6014B748-55B6-4A1C-A195-787A423E4032}"/>
            </a:ext>
          </a:extLst>
        </xdr:cNvPr>
        <xdr:cNvSpPr/>
      </xdr:nvSpPr>
      <xdr:spPr>
        <a:xfrm>
          <a:off x="45236" y="56863"/>
          <a:ext cx="2770850" cy="457725"/>
        </a:xfrm>
        <a:prstGeom prst="roundRect">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all" spc="0" normalizeH="0" baseline="0" noProof="0">
              <a:ln w="0"/>
              <a:solidFill>
                <a:sysClr val="windowText" lastClr="000000"/>
              </a:solidFill>
              <a:effectLst/>
              <a:uLnTx/>
              <a:uFillTx/>
              <a:latin typeface="Trebuchet MS" pitchFamily="34" charset="0"/>
              <a:ea typeface="+mn-ea"/>
              <a:cs typeface="+mn-cs"/>
            </a:rPr>
            <a:t>Table calculations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Hinkle" refreshedDate="44781.45429050926" createdVersion="8" refreshedVersion="8" minRefreshableVersion="3" recordCount="126" xr:uid="{325D2215-2D94-4A34-BA39-5BB45F69AADE}">
  <cacheSource type="worksheet">
    <worksheetSource ref="A1:F127" sheet="Bakery Shop"/>
  </cacheSource>
  <cacheFields count="6">
    <cacheField name="Location" numFmtId="0">
      <sharedItems count="3">
        <s v="Brooklyn"/>
        <s v="Manhattan"/>
        <s v="Queens"/>
      </sharedItems>
    </cacheField>
    <cacheField name="Item" numFmtId="0">
      <sharedItems count="7">
        <s v="Cakes"/>
        <s v="Cookies"/>
        <s v="Croissants"/>
        <s v="Cupcakes"/>
        <s v="Muffins"/>
        <s v="Pies"/>
        <s v="Whoopie Pies"/>
      </sharedItems>
    </cacheField>
    <cacheField name="Cost per Item" numFmtId="164">
      <sharedItems containsSemiMixedTypes="0" containsString="0" containsNumber="1" minValue="1.5" maxValue="12"/>
    </cacheField>
    <cacheField name="Items Sold" numFmtId="0">
      <sharedItems containsSemiMixedTypes="0" containsString="0" containsNumber="1" containsInteger="1" minValue="5" maxValue="200"/>
    </cacheField>
    <cacheField name="Revenue" numFmtId="164">
      <sharedItems containsSemiMixedTypes="0" containsString="0" containsNumber="1" minValue="8.75" maxValue="1800" count="100">
        <n v="300"/>
        <n v="132"/>
        <n v="8.75"/>
        <n v="156"/>
        <n v="49"/>
        <n v="50"/>
        <n v="57.5"/>
        <n v="600"/>
        <n v="189"/>
        <n v="77"/>
        <n v="264"/>
        <n v="84"/>
        <n v="160"/>
        <n v="135"/>
        <n v="240"/>
        <n v="112.5"/>
        <n v="38.5"/>
        <n v="90"/>
        <n v="45.5"/>
        <n v="60"/>
        <n v="65"/>
        <n v="348"/>
        <n v="141"/>
        <n v="15.75"/>
        <n v="231"/>
        <n v="33.25"/>
        <n v="70"/>
        <n v="105"/>
        <n v="948"/>
        <n v="210"/>
        <n v="108.5"/>
        <n v="432"/>
        <n v="112"/>
        <n v="170"/>
        <n v="220"/>
        <n v="516"/>
        <n v="120"/>
        <n v="52.5"/>
        <n v="270"/>
        <n v="100"/>
        <n v="110"/>
        <n v="480"/>
        <n v="153"/>
        <n v="21"/>
        <n v="306"/>
        <n v="40.25"/>
        <n v="192.5"/>
        <n v="960"/>
        <n v="237"/>
        <n v="173.25"/>
        <n v="540"/>
        <n v="126"/>
        <n v="190"/>
        <n v="280"/>
        <n v="183"/>
        <n v="113.75"/>
        <n v="360"/>
        <n v="212.5"/>
        <n v="660"/>
        <n v="222"/>
        <n v="438"/>
        <n v="215"/>
        <n v="1440"/>
        <n v="265.5"/>
        <n v="143.5"/>
        <n v="588"/>
        <n v="164.5"/>
        <n v="290"/>
        <n v="202.5"/>
        <n v="462"/>
        <n v="130"/>
        <n v="840"/>
        <n v="366"/>
        <n v="56"/>
        <n v="185"/>
        <n v="1800"/>
        <n v="133"/>
        <n v="489"/>
        <n v="185.5"/>
        <n v="310"/>
        <n v="400"/>
        <n v="732"/>
        <n v="216"/>
        <n v="288"/>
        <n v="94.5"/>
        <n v="180"/>
        <n v="250"/>
        <n v="780"/>
        <n v="114"/>
        <n v="195"/>
        <n v="63"/>
        <n v="150"/>
        <n v="1560"/>
        <n v="98"/>
        <n v="336"/>
        <n v="150.5"/>
        <n v="440"/>
        <n v="96"/>
        <n v="35"/>
        <n v="82.5"/>
      </sharedItems>
    </cacheField>
    <cacheField name="Day" numFmtId="165">
      <sharedItems containsSemiMixedTypes="0" containsNonDate="0" containsDate="1" containsString="0" minDate="2009-05-05T00:00:00" maxDate="2009-05-11T00:00:00" count="6">
        <d v="2009-05-05T00:00:00"/>
        <d v="2009-05-06T00:00:00"/>
        <d v="2009-05-07T00:00:00"/>
        <d v="2009-05-08T00:00:00"/>
        <d v="2009-05-09T00:00:00"/>
        <d v="2009-05-10T00:00:00"/>
      </sharedItems>
    </cacheField>
  </cacheFields>
  <extLst>
    <ext xmlns:x14="http://schemas.microsoft.com/office/spreadsheetml/2009/9/main" uri="{725AE2AE-9491-48be-B2B4-4EB974FC3084}">
      <x14:pivotCacheDefinition pivotCacheId="133398821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Hinkle" refreshedDate="44794.741936342594" createdVersion="8" refreshedVersion="8" minRefreshableVersion="3" recordCount="126" xr:uid="{3D46FDE5-4CE2-4C3A-9ACF-B20A01F689DF}">
  <cacheSource type="worksheet">
    <worksheetSource name="tBakeryShop"/>
  </cacheSource>
  <cacheFields count="6">
    <cacheField name="Location" numFmtId="0">
      <sharedItems count="3">
        <s v="Brooklyn"/>
        <s v="Manhattan"/>
        <s v="Queens"/>
      </sharedItems>
    </cacheField>
    <cacheField name="Item" numFmtId="0">
      <sharedItems count="7">
        <s v="Cakes"/>
        <s v="Cookies"/>
        <s v="Croissants"/>
        <s v="Cupcakes"/>
        <s v="Muffins"/>
        <s v="Pies"/>
        <s v="Whoopie Pies"/>
      </sharedItems>
    </cacheField>
    <cacheField name="Cost per Item" numFmtId="164">
      <sharedItems containsSemiMixedTypes="0" containsString="0" containsNumber="1" minValue="1.5" maxValue="12"/>
    </cacheField>
    <cacheField name="Items Sold" numFmtId="0">
      <sharedItems containsSemiMixedTypes="0" containsString="0" containsNumber="1" containsInteger="1" minValue="5" maxValue="200"/>
    </cacheField>
    <cacheField name="Revenue" numFmtId="164">
      <sharedItems containsSemiMixedTypes="0" containsString="0" containsNumber="1" minValue="8.75" maxValue="1800"/>
    </cacheField>
    <cacheField name="Day" numFmtId="165">
      <sharedItems containsSemiMixedTypes="0" containsNonDate="0" containsDate="1" containsString="0" minDate="2009-05-05T00:00:00" maxDate="2009-05-11T00:00:00" count="6">
        <d v="2009-05-05T00:00:00"/>
        <d v="2009-05-06T00:00:00"/>
        <d v="2009-05-07T00:00:00"/>
        <d v="2009-05-08T00:00:00"/>
        <d v="2009-05-09T00:00:00"/>
        <d v="2009-05-10T00:00:0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Hinkle" refreshedDate="44834.827597685187" createdVersion="8" refreshedVersion="8" minRefreshableVersion="3" recordCount="14" xr:uid="{667C0B50-F7E6-4006-BE12-29E76E31FB8B}">
  <cacheSource type="worksheet">
    <worksheetSource ref="A1:F15" sheet="Bakery Partial"/>
  </cacheSource>
  <cacheFields count="6">
    <cacheField name="Location" numFmtId="0">
      <sharedItems count="2">
        <s v="Brooklyn"/>
        <s v="Manhattan"/>
      </sharedItems>
    </cacheField>
    <cacheField name="Item" numFmtId="0">
      <sharedItems count="7">
        <s v="Cakes"/>
        <s v="Cookies"/>
        <s v="Croissants"/>
        <s v="Cupcakes"/>
        <s v="Muffins"/>
        <s v="Pies"/>
        <s v="Whoopie Pies"/>
      </sharedItems>
    </cacheField>
    <cacheField name="Cost per Item" numFmtId="0">
      <sharedItems containsSemiMixedTypes="0" containsString="0" containsNumber="1" minValue="1.5" maxValue="12"/>
    </cacheField>
    <cacheField name="Items Sold" numFmtId="0">
      <sharedItems containsSemiMixedTypes="0" containsString="0" containsNumber="1" containsInteger="1" minValue="5" maxValue="126"/>
    </cacheField>
    <cacheField name="Revenue" numFmtId="0">
      <sharedItems containsSemiMixedTypes="0" containsString="0" containsNumber="1" minValue="8.75" maxValue="600"/>
    </cacheField>
    <cacheField name="Day" numFmtId="0">
      <sharedItems containsSemiMixedTypes="0" containsString="0" containsNumber="1" containsInteger="1" minValue="39938" maxValue="39938" count="1">
        <n v="39938"/>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Hinkle" refreshedDate="44863.531188310182" createdVersion="8" refreshedVersion="8" minRefreshableVersion="3" recordCount="49" xr:uid="{D795C615-8CAA-4648-9FBB-1C40B6CEBF2B}">
  <cacheSource type="worksheet">
    <worksheetSource name="tnorthwindtraders"/>
  </cacheSource>
  <cacheFields count="14">
    <cacheField name="Order ID" numFmtId="0">
      <sharedItems containsSemiMixedTypes="0" containsString="0" containsNumber="1" containsInteger="1" minValue="30" maxValue="79"/>
    </cacheField>
    <cacheField name="Order Date" numFmtId="14">
      <sharedItems containsSemiMixedTypes="0" containsNonDate="0" containsDate="1" containsString="0" minDate="2020-01-15T00:00:00" maxDate="2020-06-24T00:00:00" count="23">
        <d v="2020-05-24T00:00:00"/>
        <d v="2020-01-15T00:00:00"/>
        <d v="2020-04-08T00:00:00"/>
        <d v="2020-04-05T00:00:00"/>
        <d v="2020-06-05T00:00:00"/>
        <d v="2020-03-24T00:00:00"/>
        <d v="2020-01-22T00:00:00"/>
        <d v="2020-04-03T00:00:00"/>
        <d v="2020-02-10T00:00:00"/>
        <d v="2020-03-22T00:00:00"/>
        <d v="2020-06-08T00:00:00"/>
        <d v="2020-02-06T00:00:00"/>
        <d v="2020-01-30T00:00:00"/>
        <d v="2020-02-23T00:00:00"/>
        <d v="2020-04-07T00:00:00"/>
        <d v="2020-03-10T00:00:00"/>
        <d v="2020-06-07T00:00:00"/>
        <d v="2020-03-06T00:00:00"/>
        <d v="2020-04-25T00:00:00"/>
        <d v="2020-06-23T00:00:00"/>
        <d v="2020-01-20T00:00:00"/>
        <d v="2020-04-22T00:00:00"/>
        <d v="2020-04-30T00:00:00"/>
      </sharedItems>
      <fieldGroup par="13" base="1">
        <rangePr groupBy="months" startDate="2020-01-15T00:00:00" endDate="2020-06-24T00:00:00"/>
        <groupItems count="14">
          <s v="&lt;1/15/2020"/>
          <s v="Jan"/>
          <s v="Feb"/>
          <s v="Mar"/>
          <s v="Apr"/>
          <s v="May"/>
          <s v="Jun"/>
          <s v="Jul"/>
          <s v="Aug"/>
          <s v="Sep"/>
          <s v="Oct"/>
          <s v="Nov"/>
          <s v="Dec"/>
          <s v="&gt;6/24/2020"/>
        </groupItems>
      </fieldGroup>
    </cacheField>
    <cacheField name="Employee" numFmtId="0">
      <sharedItems count="8">
        <s v="Mariya Sergienko"/>
        <s v="Anne Hellung-Larsen"/>
        <s v="Michael Neipper"/>
        <s v="Nancy Freehafer"/>
        <s v="Andrew Cencini"/>
        <s v="Jan Kotas"/>
        <s v="Robert Zare"/>
        <s v="Laura Giussani"/>
      </sharedItems>
    </cacheField>
    <cacheField name="Customer Name" numFmtId="0">
      <sharedItems count="14">
        <s v="Thoughtworks"/>
        <s v="Fivebridge"/>
        <s v="Brightdog"/>
        <s v="Photobug"/>
        <s v="Digitube"/>
        <s v="Livepath"/>
        <s v="Thoughtblab"/>
        <s v="Rhyloo"/>
        <s v="Omba"/>
        <s v="Tanoodle"/>
        <s v="Centidel"/>
        <s v="Zoomzone"/>
        <s v="Trilith"/>
        <s v="Yodel"/>
      </sharedItems>
    </cacheField>
    <cacheField name="Product Name" numFmtId="0">
      <sharedItems count="24">
        <s v="Almonds "/>
        <s v="Beer "/>
        <s v="Boysenberry Spread"/>
        <s v="Cajun Seasoning"/>
        <s v="Chai "/>
        <s v="Chocolate"/>
        <s v="Chocolate Biscuits Mix"/>
        <s v="Clam Chowder"/>
        <s v="Coffee "/>
        <s v="Crab Meat"/>
        <s v="Curry Sauce"/>
        <s v="Dried Apples"/>
        <s v="Dried Pears"/>
        <s v="Dried Plums"/>
        <s v="Fruit Cocktail"/>
        <s v="Green Tea"/>
        <s v="Long Grain Rice"/>
        <s v="Marmalade "/>
        <s v="Mozzarella "/>
        <s v="Olive Oil"/>
        <s v="Ravioli "/>
        <s v="Scones "/>
        <s v="Syrup "/>
        <s v="Chocolate " u="1"/>
      </sharedItems>
    </cacheField>
    <cacheField name="Sales" numFmtId="166">
      <sharedItems containsSemiMixedTypes="0" containsString="0" containsNumber="1" minValue="35" maxValue="13800" count="44">
        <n v="200"/>
        <n v="1400"/>
        <n v="4200"/>
        <n v="1218"/>
        <n v="2250"/>
        <n v="250"/>
        <n v="660"/>
        <n v="220"/>
        <n v="270"/>
        <n v="127.5"/>
        <n v="1275"/>
        <n v="510"/>
        <n v="184"/>
        <n v="230"/>
        <n v="276"/>
        <n v="92"/>
        <n v="289.5"/>
        <n v="1930"/>
        <n v="482.5"/>
        <n v="96.5"/>
        <n v="13800"/>
        <n v="920"/>
        <n v="552"/>
        <n v="736"/>
        <n v="680"/>
        <n v="120"/>
        <n v="1000"/>
        <n v="800"/>
        <n v="1590"/>
        <n v="530"/>
        <n v="900"/>
        <n v="300"/>
        <n v="105"/>
        <n v="35"/>
        <n v="52.5"/>
        <n v="1560"/>
        <n v="598"/>
        <n v="280"/>
        <n v="3240"/>
        <n v="1392"/>
        <n v="1740"/>
        <n v="533.75"/>
        <n v="1950"/>
        <n v="500"/>
      </sharedItems>
    </cacheField>
    <cacheField name="Employee ID" numFmtId="0">
      <sharedItems containsSemiMixedTypes="0" containsString="0" containsNumber="1" containsInteger="1" minValue="1" maxValue="9"/>
    </cacheField>
    <cacheField name="Product ID" numFmtId="0">
      <sharedItems containsSemiMixedTypes="0" containsString="0" containsNumber="1" containsInteger="1" minValue="1" maxValue="81"/>
    </cacheField>
    <cacheField name="Customer ID" numFmtId="0">
      <sharedItems containsSemiMixedTypes="0" containsString="0" containsNumber="1" containsInteger="1" minValue="1" maxValue="29"/>
    </cacheField>
    <cacheField name="Category" numFmtId="0">
      <sharedItems count="14">
        <s v="Dried Fruit &amp; Nuts"/>
        <s v="Beverages"/>
        <s v="Jams, Preserves"/>
        <s v="Condiments"/>
        <s v="Candy"/>
        <s v="Baked Goods &amp; Mixes"/>
        <s v="Soups"/>
        <s v="Canned Meat"/>
        <s v="Sauces"/>
        <s v="Canned Fruit &amp; Vegetables"/>
        <s v="Grains"/>
        <s v="Dairy Products"/>
        <s v="Oil"/>
        <s v="Pasta"/>
      </sharedItems>
    </cacheField>
    <cacheField name="Customer" numFmtId="0">
      <sharedItems count="28">
        <s v="Thoughtworks"/>
        <s v="Fivebridge"/>
        <s v="Brightdog"/>
        <s v="Photobug"/>
        <s v="Digitube"/>
        <s v="Livepath"/>
        <s v="Thoughtblab"/>
        <s v="Rhyloo"/>
        <s v="Omba"/>
        <s v="Tanoodle"/>
        <s v="Centidel"/>
        <s v="Zoomzone"/>
        <s v="Trilith"/>
        <s v="Yodel"/>
        <s v="Company C" u="1"/>
        <s v="Company F" u="1"/>
        <s v="Company AA" u="1"/>
        <s v="Company I" u="1"/>
        <s v="Company Y" u="1"/>
        <s v="Company L" u="1"/>
        <s v="Company H" u="1"/>
        <s v="Company K" u="1"/>
        <s v="Company A" u="1"/>
        <s v="Company CC" u="1"/>
        <s v="Company D" u="1"/>
        <s v="Company J" u="1"/>
        <s v="Company Z" u="1"/>
        <s v="Company BB" u="1"/>
      </sharedItems>
    </cacheField>
    <cacheField name="State/Province" numFmtId="0">
      <sharedItems count="11">
        <s v="IL"/>
        <s v="NV"/>
        <s v="WI"/>
        <s v="CO"/>
        <s v="FL"/>
        <s v="OR"/>
        <s v="NY"/>
        <s v="CA"/>
        <s v="TN"/>
        <s v="UT"/>
        <s v="WA"/>
      </sharedItems>
    </cacheField>
    <cacheField name="Country/Region" numFmtId="0">
      <sharedItems/>
    </cacheField>
    <cacheField name="Years" numFmtId="0" databaseField="0">
      <fieldGroup base="1">
        <rangePr groupBy="years" startDate="2020-01-15T00:00:00" endDate="2020-06-24T00:00:00"/>
        <groupItems count="3">
          <s v="&lt;1/15/2020"/>
          <s v="2020"/>
          <s v="&gt;6/24/2020"/>
        </groupItems>
      </fieldGroup>
    </cacheField>
  </cacheFields>
  <extLst>
    <ext xmlns:x14="http://schemas.microsoft.com/office/spreadsheetml/2009/9/main" uri="{725AE2AE-9491-48be-B2B4-4EB974FC3084}">
      <x14:pivotCacheDefinition pivotCacheId="6331274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
  <r>
    <x v="0"/>
    <x v="0"/>
    <n v="12"/>
    <n v="25"/>
    <x v="0"/>
    <x v="0"/>
  </r>
  <r>
    <x v="0"/>
    <x v="1"/>
    <n v="1.5"/>
    <n v="88"/>
    <x v="1"/>
    <x v="0"/>
  </r>
  <r>
    <x v="0"/>
    <x v="2"/>
    <n v="1.75"/>
    <n v="5"/>
    <x v="2"/>
    <x v="0"/>
  </r>
  <r>
    <x v="0"/>
    <x v="3"/>
    <n v="3"/>
    <n v="52"/>
    <x v="3"/>
    <x v="0"/>
  </r>
  <r>
    <x v="0"/>
    <x v="4"/>
    <n v="1.75"/>
    <n v="28"/>
    <x v="4"/>
    <x v="0"/>
  </r>
  <r>
    <x v="0"/>
    <x v="5"/>
    <n v="10"/>
    <n v="5"/>
    <x v="5"/>
    <x v="0"/>
  </r>
  <r>
    <x v="0"/>
    <x v="6"/>
    <n v="2.5"/>
    <n v="23"/>
    <x v="6"/>
    <x v="0"/>
  </r>
  <r>
    <x v="1"/>
    <x v="0"/>
    <n v="12"/>
    <n v="50"/>
    <x v="7"/>
    <x v="0"/>
  </r>
  <r>
    <x v="1"/>
    <x v="1"/>
    <n v="1.5"/>
    <n v="126"/>
    <x v="8"/>
    <x v="0"/>
  </r>
  <r>
    <x v="1"/>
    <x v="2"/>
    <n v="1.75"/>
    <n v="44"/>
    <x v="9"/>
    <x v="0"/>
  </r>
  <r>
    <x v="1"/>
    <x v="3"/>
    <n v="3"/>
    <n v="88"/>
    <x v="10"/>
    <x v="0"/>
  </r>
  <r>
    <x v="1"/>
    <x v="4"/>
    <n v="1.75"/>
    <n v="48"/>
    <x v="11"/>
    <x v="0"/>
  </r>
  <r>
    <x v="1"/>
    <x v="5"/>
    <n v="10"/>
    <n v="16"/>
    <x v="12"/>
    <x v="0"/>
  </r>
  <r>
    <x v="1"/>
    <x v="6"/>
    <n v="2.5"/>
    <n v="54"/>
    <x v="13"/>
    <x v="0"/>
  </r>
  <r>
    <x v="2"/>
    <x v="0"/>
    <n v="12"/>
    <n v="20"/>
    <x v="14"/>
    <x v="0"/>
  </r>
  <r>
    <x v="2"/>
    <x v="1"/>
    <n v="1.5"/>
    <n v="75"/>
    <x v="15"/>
    <x v="0"/>
  </r>
  <r>
    <x v="2"/>
    <x v="2"/>
    <n v="1.75"/>
    <n v="22"/>
    <x v="16"/>
    <x v="0"/>
  </r>
  <r>
    <x v="2"/>
    <x v="3"/>
    <n v="3"/>
    <n v="30"/>
    <x v="17"/>
    <x v="0"/>
  </r>
  <r>
    <x v="2"/>
    <x v="4"/>
    <n v="1.75"/>
    <n v="26"/>
    <x v="18"/>
    <x v="0"/>
  </r>
  <r>
    <x v="2"/>
    <x v="5"/>
    <n v="10"/>
    <n v="6"/>
    <x v="19"/>
    <x v="0"/>
  </r>
  <r>
    <x v="2"/>
    <x v="6"/>
    <n v="2.5"/>
    <n v="26"/>
    <x v="20"/>
    <x v="0"/>
  </r>
  <r>
    <x v="0"/>
    <x v="0"/>
    <n v="12"/>
    <n v="29"/>
    <x v="21"/>
    <x v="1"/>
  </r>
  <r>
    <x v="0"/>
    <x v="1"/>
    <n v="1.5"/>
    <n v="94"/>
    <x v="22"/>
    <x v="1"/>
  </r>
  <r>
    <x v="0"/>
    <x v="2"/>
    <n v="1.75"/>
    <n v="9"/>
    <x v="23"/>
    <x v="1"/>
  </r>
  <r>
    <x v="0"/>
    <x v="3"/>
    <n v="3"/>
    <n v="77"/>
    <x v="24"/>
    <x v="1"/>
  </r>
  <r>
    <x v="0"/>
    <x v="4"/>
    <n v="1.75"/>
    <n v="19"/>
    <x v="25"/>
    <x v="1"/>
  </r>
  <r>
    <x v="0"/>
    <x v="5"/>
    <n v="10"/>
    <n v="7"/>
    <x v="26"/>
    <x v="1"/>
  </r>
  <r>
    <x v="0"/>
    <x v="6"/>
    <n v="2.5"/>
    <n v="42"/>
    <x v="27"/>
    <x v="1"/>
  </r>
  <r>
    <x v="1"/>
    <x v="0"/>
    <n v="12"/>
    <n v="79"/>
    <x v="28"/>
    <x v="1"/>
  </r>
  <r>
    <x v="1"/>
    <x v="1"/>
    <n v="1.5"/>
    <n v="140"/>
    <x v="29"/>
    <x v="1"/>
  </r>
  <r>
    <x v="1"/>
    <x v="2"/>
    <n v="1.75"/>
    <n v="62"/>
    <x v="30"/>
    <x v="1"/>
  </r>
  <r>
    <x v="1"/>
    <x v="3"/>
    <n v="3"/>
    <n v="144"/>
    <x v="31"/>
    <x v="1"/>
  </r>
  <r>
    <x v="1"/>
    <x v="4"/>
    <n v="1.75"/>
    <n v="64"/>
    <x v="32"/>
    <x v="1"/>
  </r>
  <r>
    <x v="1"/>
    <x v="5"/>
    <n v="10"/>
    <n v="17"/>
    <x v="33"/>
    <x v="1"/>
  </r>
  <r>
    <x v="1"/>
    <x v="6"/>
    <n v="2.5"/>
    <n v="88"/>
    <x v="34"/>
    <x v="1"/>
  </r>
  <r>
    <x v="2"/>
    <x v="0"/>
    <n v="12"/>
    <n v="43"/>
    <x v="35"/>
    <x v="1"/>
  </r>
  <r>
    <x v="2"/>
    <x v="1"/>
    <n v="1.5"/>
    <n v="80"/>
    <x v="36"/>
    <x v="1"/>
  </r>
  <r>
    <x v="2"/>
    <x v="2"/>
    <n v="1.75"/>
    <n v="30"/>
    <x v="37"/>
    <x v="1"/>
  </r>
  <r>
    <x v="2"/>
    <x v="3"/>
    <n v="3"/>
    <n v="90"/>
    <x v="38"/>
    <x v="1"/>
  </r>
  <r>
    <x v="2"/>
    <x v="4"/>
    <n v="1.75"/>
    <n v="26"/>
    <x v="18"/>
    <x v="1"/>
  </r>
  <r>
    <x v="2"/>
    <x v="5"/>
    <n v="10"/>
    <n v="10"/>
    <x v="39"/>
    <x v="1"/>
  </r>
  <r>
    <x v="2"/>
    <x v="6"/>
    <n v="2.5"/>
    <n v="44"/>
    <x v="40"/>
    <x v="1"/>
  </r>
  <r>
    <x v="0"/>
    <x v="0"/>
    <n v="12"/>
    <n v="40"/>
    <x v="41"/>
    <x v="2"/>
  </r>
  <r>
    <x v="0"/>
    <x v="1"/>
    <n v="1.5"/>
    <n v="102"/>
    <x v="42"/>
    <x v="2"/>
  </r>
  <r>
    <x v="0"/>
    <x v="2"/>
    <n v="1.75"/>
    <n v="12"/>
    <x v="43"/>
    <x v="2"/>
  </r>
  <r>
    <x v="0"/>
    <x v="3"/>
    <n v="3"/>
    <n v="102"/>
    <x v="44"/>
    <x v="2"/>
  </r>
  <r>
    <x v="0"/>
    <x v="4"/>
    <n v="1.75"/>
    <n v="23"/>
    <x v="45"/>
    <x v="2"/>
  </r>
  <r>
    <x v="0"/>
    <x v="5"/>
    <n v="10"/>
    <n v="7"/>
    <x v="26"/>
    <x v="2"/>
  </r>
  <r>
    <x v="0"/>
    <x v="6"/>
    <n v="2.5"/>
    <n v="77"/>
    <x v="46"/>
    <x v="2"/>
  </r>
  <r>
    <x v="1"/>
    <x v="0"/>
    <n v="12"/>
    <n v="80"/>
    <x v="47"/>
    <x v="2"/>
  </r>
  <r>
    <x v="1"/>
    <x v="1"/>
    <n v="1.5"/>
    <n v="158"/>
    <x v="48"/>
    <x v="2"/>
  </r>
  <r>
    <x v="1"/>
    <x v="2"/>
    <n v="1.75"/>
    <n v="99"/>
    <x v="49"/>
    <x v="2"/>
  </r>
  <r>
    <x v="1"/>
    <x v="3"/>
    <n v="3"/>
    <n v="180"/>
    <x v="50"/>
    <x v="2"/>
  </r>
  <r>
    <x v="1"/>
    <x v="4"/>
    <n v="1.75"/>
    <n v="72"/>
    <x v="51"/>
    <x v="2"/>
  </r>
  <r>
    <x v="1"/>
    <x v="5"/>
    <n v="10"/>
    <n v="19"/>
    <x v="52"/>
    <x v="2"/>
  </r>
  <r>
    <x v="1"/>
    <x v="6"/>
    <n v="2.5"/>
    <n v="112"/>
    <x v="53"/>
    <x v="2"/>
  </r>
  <r>
    <x v="2"/>
    <x v="0"/>
    <n v="12"/>
    <n v="45"/>
    <x v="50"/>
    <x v="2"/>
  </r>
  <r>
    <x v="2"/>
    <x v="1"/>
    <n v="1.5"/>
    <n v="122"/>
    <x v="54"/>
    <x v="2"/>
  </r>
  <r>
    <x v="2"/>
    <x v="2"/>
    <n v="1.75"/>
    <n v="65"/>
    <x v="55"/>
    <x v="2"/>
  </r>
  <r>
    <x v="2"/>
    <x v="3"/>
    <n v="3"/>
    <n v="120"/>
    <x v="56"/>
    <x v="2"/>
  </r>
  <r>
    <x v="2"/>
    <x v="4"/>
    <n v="1.75"/>
    <n v="30"/>
    <x v="37"/>
    <x v="2"/>
  </r>
  <r>
    <x v="2"/>
    <x v="5"/>
    <n v="10"/>
    <n v="11"/>
    <x v="40"/>
    <x v="2"/>
  </r>
  <r>
    <x v="2"/>
    <x v="6"/>
    <n v="2.5"/>
    <n v="85"/>
    <x v="57"/>
    <x v="2"/>
  </r>
  <r>
    <x v="0"/>
    <x v="0"/>
    <n v="12"/>
    <n v="55"/>
    <x v="58"/>
    <x v="3"/>
  </r>
  <r>
    <x v="0"/>
    <x v="1"/>
    <n v="1.5"/>
    <n v="148"/>
    <x v="59"/>
    <x v="3"/>
  </r>
  <r>
    <x v="0"/>
    <x v="2"/>
    <n v="1.75"/>
    <n v="48"/>
    <x v="11"/>
    <x v="3"/>
  </r>
  <r>
    <x v="0"/>
    <x v="3"/>
    <n v="3"/>
    <n v="146"/>
    <x v="60"/>
    <x v="3"/>
  </r>
  <r>
    <x v="0"/>
    <x v="4"/>
    <n v="1.75"/>
    <n v="22"/>
    <x v="16"/>
    <x v="3"/>
  </r>
  <r>
    <x v="0"/>
    <x v="5"/>
    <n v="10"/>
    <n v="11"/>
    <x v="40"/>
    <x v="3"/>
  </r>
  <r>
    <x v="0"/>
    <x v="6"/>
    <n v="2.5"/>
    <n v="86"/>
    <x v="61"/>
    <x v="3"/>
  </r>
  <r>
    <x v="1"/>
    <x v="0"/>
    <n v="12"/>
    <n v="120"/>
    <x v="62"/>
    <x v="3"/>
  </r>
  <r>
    <x v="1"/>
    <x v="1"/>
    <n v="1.5"/>
    <n v="177"/>
    <x v="63"/>
    <x v="3"/>
  </r>
  <r>
    <x v="1"/>
    <x v="2"/>
    <n v="1.75"/>
    <n v="82"/>
    <x v="64"/>
    <x v="3"/>
  </r>
  <r>
    <x v="1"/>
    <x v="3"/>
    <n v="3"/>
    <n v="196"/>
    <x v="65"/>
    <x v="3"/>
  </r>
  <r>
    <x v="1"/>
    <x v="4"/>
    <n v="1.75"/>
    <n v="94"/>
    <x v="66"/>
    <x v="3"/>
  </r>
  <r>
    <x v="1"/>
    <x v="5"/>
    <n v="10"/>
    <n v="29"/>
    <x v="67"/>
    <x v="3"/>
  </r>
  <r>
    <x v="1"/>
    <x v="6"/>
    <n v="2.5"/>
    <n v="144"/>
    <x v="56"/>
    <x v="3"/>
  </r>
  <r>
    <x v="2"/>
    <x v="0"/>
    <n v="12"/>
    <n v="50"/>
    <x v="7"/>
    <x v="3"/>
  </r>
  <r>
    <x v="2"/>
    <x v="1"/>
    <n v="1.5"/>
    <n v="135"/>
    <x v="68"/>
    <x v="3"/>
  </r>
  <r>
    <x v="2"/>
    <x v="2"/>
    <n v="1.75"/>
    <n v="40"/>
    <x v="26"/>
    <x v="3"/>
  </r>
  <r>
    <x v="2"/>
    <x v="3"/>
    <n v="3"/>
    <n v="154"/>
    <x v="69"/>
    <x v="3"/>
  </r>
  <r>
    <x v="2"/>
    <x v="4"/>
    <n v="1.75"/>
    <n v="62"/>
    <x v="30"/>
    <x v="3"/>
  </r>
  <r>
    <x v="2"/>
    <x v="5"/>
    <n v="10"/>
    <n v="13"/>
    <x v="70"/>
    <x v="3"/>
  </r>
  <r>
    <x v="2"/>
    <x v="6"/>
    <n v="2.5"/>
    <n v="96"/>
    <x v="14"/>
    <x v="3"/>
  </r>
  <r>
    <x v="0"/>
    <x v="0"/>
    <n v="12"/>
    <n v="70"/>
    <x v="71"/>
    <x v="4"/>
  </r>
  <r>
    <x v="0"/>
    <x v="1"/>
    <n v="1.5"/>
    <n v="160"/>
    <x v="14"/>
    <x v="4"/>
  </r>
  <r>
    <x v="0"/>
    <x v="2"/>
    <n v="1.75"/>
    <n v="60"/>
    <x v="27"/>
    <x v="4"/>
  </r>
  <r>
    <x v="0"/>
    <x v="3"/>
    <n v="3"/>
    <n v="122"/>
    <x v="72"/>
    <x v="4"/>
  </r>
  <r>
    <x v="0"/>
    <x v="4"/>
    <n v="1.75"/>
    <n v="32"/>
    <x v="73"/>
    <x v="4"/>
  </r>
  <r>
    <x v="0"/>
    <x v="5"/>
    <n v="10"/>
    <n v="13"/>
    <x v="70"/>
    <x v="4"/>
  </r>
  <r>
    <x v="0"/>
    <x v="6"/>
    <n v="2.5"/>
    <n v="74"/>
    <x v="74"/>
    <x v="4"/>
  </r>
  <r>
    <x v="1"/>
    <x v="0"/>
    <n v="12"/>
    <n v="150"/>
    <x v="75"/>
    <x v="4"/>
  </r>
  <r>
    <x v="1"/>
    <x v="1"/>
    <n v="1.5"/>
    <n v="200"/>
    <x v="0"/>
    <x v="4"/>
  </r>
  <r>
    <x v="1"/>
    <x v="2"/>
    <n v="1.75"/>
    <n v="76"/>
    <x v="76"/>
    <x v="4"/>
  </r>
  <r>
    <x v="1"/>
    <x v="3"/>
    <n v="3"/>
    <n v="163"/>
    <x v="77"/>
    <x v="4"/>
  </r>
  <r>
    <x v="1"/>
    <x v="4"/>
    <n v="1.75"/>
    <n v="106"/>
    <x v="78"/>
    <x v="4"/>
  </r>
  <r>
    <x v="1"/>
    <x v="5"/>
    <n v="10"/>
    <n v="31"/>
    <x v="79"/>
    <x v="4"/>
  </r>
  <r>
    <x v="1"/>
    <x v="6"/>
    <n v="2.5"/>
    <n v="160"/>
    <x v="80"/>
    <x v="4"/>
  </r>
  <r>
    <x v="2"/>
    <x v="0"/>
    <n v="12"/>
    <n v="61"/>
    <x v="81"/>
    <x v="4"/>
  </r>
  <r>
    <x v="2"/>
    <x v="1"/>
    <n v="1.5"/>
    <n v="144"/>
    <x v="82"/>
    <x v="4"/>
  </r>
  <r>
    <x v="2"/>
    <x v="2"/>
    <n v="1.75"/>
    <n v="30"/>
    <x v="37"/>
    <x v="4"/>
  </r>
  <r>
    <x v="2"/>
    <x v="3"/>
    <n v="3"/>
    <n v="96"/>
    <x v="83"/>
    <x v="4"/>
  </r>
  <r>
    <x v="2"/>
    <x v="4"/>
    <n v="1.75"/>
    <n v="54"/>
    <x v="84"/>
    <x v="4"/>
  </r>
  <r>
    <x v="2"/>
    <x v="5"/>
    <n v="10"/>
    <n v="18"/>
    <x v="85"/>
    <x v="4"/>
  </r>
  <r>
    <x v="2"/>
    <x v="6"/>
    <n v="2.5"/>
    <n v="100"/>
    <x v="86"/>
    <x v="4"/>
  </r>
  <r>
    <x v="0"/>
    <x v="0"/>
    <n v="12"/>
    <n v="65"/>
    <x v="87"/>
    <x v="5"/>
  </r>
  <r>
    <x v="0"/>
    <x v="1"/>
    <n v="1.5"/>
    <n v="76"/>
    <x v="88"/>
    <x v="5"/>
  </r>
  <r>
    <x v="0"/>
    <x v="2"/>
    <n v="1.75"/>
    <n v="72"/>
    <x v="51"/>
    <x v="5"/>
  </r>
  <r>
    <x v="0"/>
    <x v="3"/>
    <n v="3"/>
    <n v="65"/>
    <x v="89"/>
    <x v="5"/>
  </r>
  <r>
    <x v="0"/>
    <x v="4"/>
    <n v="1.75"/>
    <n v="36"/>
    <x v="90"/>
    <x v="5"/>
  </r>
  <r>
    <x v="0"/>
    <x v="5"/>
    <n v="10"/>
    <n v="15"/>
    <x v="91"/>
    <x v="5"/>
  </r>
  <r>
    <x v="0"/>
    <x v="6"/>
    <n v="2.5"/>
    <n v="36"/>
    <x v="17"/>
    <x v="5"/>
  </r>
  <r>
    <x v="1"/>
    <x v="0"/>
    <n v="12"/>
    <n v="130"/>
    <x v="92"/>
    <x v="5"/>
  </r>
  <r>
    <x v="1"/>
    <x v="1"/>
    <n v="1.5"/>
    <n v="130"/>
    <x v="89"/>
    <x v="5"/>
  </r>
  <r>
    <x v="1"/>
    <x v="2"/>
    <n v="1.75"/>
    <n v="56"/>
    <x v="93"/>
    <x v="5"/>
  </r>
  <r>
    <x v="1"/>
    <x v="3"/>
    <n v="3"/>
    <n v="112"/>
    <x v="94"/>
    <x v="5"/>
  </r>
  <r>
    <x v="1"/>
    <x v="4"/>
    <n v="1.75"/>
    <n v="86"/>
    <x v="95"/>
    <x v="5"/>
  </r>
  <r>
    <x v="1"/>
    <x v="5"/>
    <n v="10"/>
    <n v="44"/>
    <x v="96"/>
    <x v="5"/>
  </r>
  <r>
    <x v="1"/>
    <x v="6"/>
    <n v="2.5"/>
    <n v="64"/>
    <x v="12"/>
    <x v="5"/>
  </r>
  <r>
    <x v="2"/>
    <x v="0"/>
    <n v="12"/>
    <n v="80"/>
    <x v="47"/>
    <x v="5"/>
  </r>
  <r>
    <x v="2"/>
    <x v="1"/>
    <n v="1.5"/>
    <n v="64"/>
    <x v="97"/>
    <x v="5"/>
  </r>
  <r>
    <x v="2"/>
    <x v="2"/>
    <n v="1.75"/>
    <n v="20"/>
    <x v="98"/>
    <x v="5"/>
  </r>
  <r>
    <x v="2"/>
    <x v="3"/>
    <n v="3"/>
    <n v="77"/>
    <x v="24"/>
    <x v="5"/>
  </r>
  <r>
    <x v="2"/>
    <x v="4"/>
    <n v="1.75"/>
    <n v="40"/>
    <x v="26"/>
    <x v="5"/>
  </r>
  <r>
    <x v="2"/>
    <x v="5"/>
    <n v="10"/>
    <n v="22"/>
    <x v="34"/>
    <x v="5"/>
  </r>
  <r>
    <x v="2"/>
    <x v="6"/>
    <n v="2.5"/>
    <n v="33"/>
    <x v="99"/>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
  <r>
    <x v="0"/>
    <x v="0"/>
    <n v="12"/>
    <n v="25"/>
    <n v="300"/>
    <x v="0"/>
  </r>
  <r>
    <x v="0"/>
    <x v="1"/>
    <n v="1.5"/>
    <n v="88"/>
    <n v="132"/>
    <x v="0"/>
  </r>
  <r>
    <x v="0"/>
    <x v="2"/>
    <n v="1.75"/>
    <n v="5"/>
    <n v="8.75"/>
    <x v="0"/>
  </r>
  <r>
    <x v="0"/>
    <x v="3"/>
    <n v="3"/>
    <n v="52"/>
    <n v="156"/>
    <x v="0"/>
  </r>
  <r>
    <x v="0"/>
    <x v="4"/>
    <n v="1.75"/>
    <n v="28"/>
    <n v="49"/>
    <x v="0"/>
  </r>
  <r>
    <x v="0"/>
    <x v="5"/>
    <n v="10"/>
    <n v="5"/>
    <n v="50"/>
    <x v="0"/>
  </r>
  <r>
    <x v="0"/>
    <x v="6"/>
    <n v="2.5"/>
    <n v="23"/>
    <n v="57.5"/>
    <x v="0"/>
  </r>
  <r>
    <x v="1"/>
    <x v="0"/>
    <n v="12"/>
    <n v="50"/>
    <n v="600"/>
    <x v="0"/>
  </r>
  <r>
    <x v="1"/>
    <x v="1"/>
    <n v="1.5"/>
    <n v="126"/>
    <n v="189"/>
    <x v="0"/>
  </r>
  <r>
    <x v="1"/>
    <x v="2"/>
    <n v="1.75"/>
    <n v="44"/>
    <n v="77"/>
    <x v="0"/>
  </r>
  <r>
    <x v="1"/>
    <x v="3"/>
    <n v="3"/>
    <n v="88"/>
    <n v="264"/>
    <x v="0"/>
  </r>
  <r>
    <x v="1"/>
    <x v="4"/>
    <n v="1.75"/>
    <n v="48"/>
    <n v="84"/>
    <x v="0"/>
  </r>
  <r>
    <x v="1"/>
    <x v="5"/>
    <n v="10"/>
    <n v="16"/>
    <n v="160"/>
    <x v="0"/>
  </r>
  <r>
    <x v="1"/>
    <x v="6"/>
    <n v="2.5"/>
    <n v="54"/>
    <n v="135"/>
    <x v="0"/>
  </r>
  <r>
    <x v="2"/>
    <x v="0"/>
    <n v="12"/>
    <n v="20"/>
    <n v="240"/>
    <x v="0"/>
  </r>
  <r>
    <x v="2"/>
    <x v="1"/>
    <n v="1.5"/>
    <n v="75"/>
    <n v="112.5"/>
    <x v="0"/>
  </r>
  <r>
    <x v="2"/>
    <x v="2"/>
    <n v="1.75"/>
    <n v="22"/>
    <n v="38.5"/>
    <x v="0"/>
  </r>
  <r>
    <x v="2"/>
    <x v="3"/>
    <n v="3"/>
    <n v="30"/>
    <n v="90"/>
    <x v="0"/>
  </r>
  <r>
    <x v="2"/>
    <x v="4"/>
    <n v="1.75"/>
    <n v="26"/>
    <n v="45.5"/>
    <x v="0"/>
  </r>
  <r>
    <x v="2"/>
    <x v="5"/>
    <n v="10"/>
    <n v="6"/>
    <n v="60"/>
    <x v="0"/>
  </r>
  <r>
    <x v="2"/>
    <x v="6"/>
    <n v="2.5"/>
    <n v="26"/>
    <n v="65"/>
    <x v="0"/>
  </r>
  <r>
    <x v="0"/>
    <x v="0"/>
    <n v="12"/>
    <n v="29"/>
    <n v="348"/>
    <x v="1"/>
  </r>
  <r>
    <x v="0"/>
    <x v="1"/>
    <n v="1.5"/>
    <n v="94"/>
    <n v="141"/>
    <x v="1"/>
  </r>
  <r>
    <x v="0"/>
    <x v="2"/>
    <n v="1.75"/>
    <n v="9"/>
    <n v="15.75"/>
    <x v="1"/>
  </r>
  <r>
    <x v="0"/>
    <x v="3"/>
    <n v="3"/>
    <n v="77"/>
    <n v="231"/>
    <x v="1"/>
  </r>
  <r>
    <x v="0"/>
    <x v="4"/>
    <n v="1.75"/>
    <n v="19"/>
    <n v="33.25"/>
    <x v="1"/>
  </r>
  <r>
    <x v="0"/>
    <x v="5"/>
    <n v="10"/>
    <n v="7"/>
    <n v="70"/>
    <x v="1"/>
  </r>
  <r>
    <x v="0"/>
    <x v="6"/>
    <n v="2.5"/>
    <n v="42"/>
    <n v="105"/>
    <x v="1"/>
  </r>
  <r>
    <x v="1"/>
    <x v="0"/>
    <n v="12"/>
    <n v="79"/>
    <n v="948"/>
    <x v="1"/>
  </r>
  <r>
    <x v="1"/>
    <x v="1"/>
    <n v="1.5"/>
    <n v="140"/>
    <n v="210"/>
    <x v="1"/>
  </r>
  <r>
    <x v="1"/>
    <x v="2"/>
    <n v="1.75"/>
    <n v="62"/>
    <n v="108.5"/>
    <x v="1"/>
  </r>
  <r>
    <x v="1"/>
    <x v="3"/>
    <n v="3"/>
    <n v="144"/>
    <n v="432"/>
    <x v="1"/>
  </r>
  <r>
    <x v="1"/>
    <x v="4"/>
    <n v="1.75"/>
    <n v="64"/>
    <n v="112"/>
    <x v="1"/>
  </r>
  <r>
    <x v="1"/>
    <x v="5"/>
    <n v="10"/>
    <n v="17"/>
    <n v="170"/>
    <x v="1"/>
  </r>
  <r>
    <x v="1"/>
    <x v="6"/>
    <n v="2.5"/>
    <n v="88"/>
    <n v="220"/>
    <x v="1"/>
  </r>
  <r>
    <x v="2"/>
    <x v="0"/>
    <n v="12"/>
    <n v="43"/>
    <n v="516"/>
    <x v="1"/>
  </r>
  <r>
    <x v="2"/>
    <x v="1"/>
    <n v="1.5"/>
    <n v="80"/>
    <n v="120"/>
    <x v="1"/>
  </r>
  <r>
    <x v="2"/>
    <x v="2"/>
    <n v="1.75"/>
    <n v="30"/>
    <n v="52.5"/>
    <x v="1"/>
  </r>
  <r>
    <x v="2"/>
    <x v="3"/>
    <n v="3"/>
    <n v="90"/>
    <n v="270"/>
    <x v="1"/>
  </r>
  <r>
    <x v="2"/>
    <x v="4"/>
    <n v="1.75"/>
    <n v="26"/>
    <n v="45.5"/>
    <x v="1"/>
  </r>
  <r>
    <x v="2"/>
    <x v="5"/>
    <n v="10"/>
    <n v="10"/>
    <n v="100"/>
    <x v="1"/>
  </r>
  <r>
    <x v="2"/>
    <x v="6"/>
    <n v="2.5"/>
    <n v="44"/>
    <n v="110"/>
    <x v="1"/>
  </r>
  <r>
    <x v="0"/>
    <x v="0"/>
    <n v="12"/>
    <n v="40"/>
    <n v="480"/>
    <x v="2"/>
  </r>
  <r>
    <x v="0"/>
    <x v="1"/>
    <n v="1.5"/>
    <n v="102"/>
    <n v="153"/>
    <x v="2"/>
  </r>
  <r>
    <x v="0"/>
    <x v="2"/>
    <n v="1.75"/>
    <n v="12"/>
    <n v="21"/>
    <x v="2"/>
  </r>
  <r>
    <x v="0"/>
    <x v="3"/>
    <n v="3"/>
    <n v="102"/>
    <n v="306"/>
    <x v="2"/>
  </r>
  <r>
    <x v="0"/>
    <x v="4"/>
    <n v="1.75"/>
    <n v="23"/>
    <n v="40.25"/>
    <x v="2"/>
  </r>
  <r>
    <x v="0"/>
    <x v="5"/>
    <n v="10"/>
    <n v="7"/>
    <n v="70"/>
    <x v="2"/>
  </r>
  <r>
    <x v="0"/>
    <x v="6"/>
    <n v="2.5"/>
    <n v="77"/>
    <n v="192.5"/>
    <x v="2"/>
  </r>
  <r>
    <x v="1"/>
    <x v="0"/>
    <n v="12"/>
    <n v="80"/>
    <n v="960"/>
    <x v="2"/>
  </r>
  <r>
    <x v="1"/>
    <x v="1"/>
    <n v="1.5"/>
    <n v="158"/>
    <n v="237"/>
    <x v="2"/>
  </r>
  <r>
    <x v="1"/>
    <x v="2"/>
    <n v="1.75"/>
    <n v="99"/>
    <n v="173.25"/>
    <x v="2"/>
  </r>
  <r>
    <x v="1"/>
    <x v="3"/>
    <n v="3"/>
    <n v="180"/>
    <n v="540"/>
    <x v="2"/>
  </r>
  <r>
    <x v="1"/>
    <x v="4"/>
    <n v="1.75"/>
    <n v="72"/>
    <n v="126"/>
    <x v="2"/>
  </r>
  <r>
    <x v="1"/>
    <x v="5"/>
    <n v="10"/>
    <n v="19"/>
    <n v="190"/>
    <x v="2"/>
  </r>
  <r>
    <x v="1"/>
    <x v="6"/>
    <n v="2.5"/>
    <n v="112"/>
    <n v="280"/>
    <x v="2"/>
  </r>
  <r>
    <x v="2"/>
    <x v="0"/>
    <n v="12"/>
    <n v="45"/>
    <n v="540"/>
    <x v="2"/>
  </r>
  <r>
    <x v="2"/>
    <x v="1"/>
    <n v="1.5"/>
    <n v="122"/>
    <n v="183"/>
    <x v="2"/>
  </r>
  <r>
    <x v="2"/>
    <x v="2"/>
    <n v="1.75"/>
    <n v="65"/>
    <n v="113.75"/>
    <x v="2"/>
  </r>
  <r>
    <x v="2"/>
    <x v="3"/>
    <n v="3"/>
    <n v="120"/>
    <n v="360"/>
    <x v="2"/>
  </r>
  <r>
    <x v="2"/>
    <x v="4"/>
    <n v="1.75"/>
    <n v="30"/>
    <n v="52.5"/>
    <x v="2"/>
  </r>
  <r>
    <x v="2"/>
    <x v="5"/>
    <n v="10"/>
    <n v="11"/>
    <n v="110"/>
    <x v="2"/>
  </r>
  <r>
    <x v="2"/>
    <x v="6"/>
    <n v="2.5"/>
    <n v="85"/>
    <n v="212.5"/>
    <x v="2"/>
  </r>
  <r>
    <x v="0"/>
    <x v="0"/>
    <n v="12"/>
    <n v="55"/>
    <n v="660"/>
    <x v="3"/>
  </r>
  <r>
    <x v="0"/>
    <x v="1"/>
    <n v="1.5"/>
    <n v="148"/>
    <n v="222"/>
    <x v="3"/>
  </r>
  <r>
    <x v="0"/>
    <x v="2"/>
    <n v="1.75"/>
    <n v="48"/>
    <n v="84"/>
    <x v="3"/>
  </r>
  <r>
    <x v="0"/>
    <x v="3"/>
    <n v="3"/>
    <n v="146"/>
    <n v="438"/>
    <x v="3"/>
  </r>
  <r>
    <x v="0"/>
    <x v="4"/>
    <n v="1.75"/>
    <n v="22"/>
    <n v="38.5"/>
    <x v="3"/>
  </r>
  <r>
    <x v="0"/>
    <x v="5"/>
    <n v="10"/>
    <n v="11"/>
    <n v="110"/>
    <x v="3"/>
  </r>
  <r>
    <x v="0"/>
    <x v="6"/>
    <n v="2.5"/>
    <n v="86"/>
    <n v="215"/>
    <x v="3"/>
  </r>
  <r>
    <x v="1"/>
    <x v="0"/>
    <n v="12"/>
    <n v="120"/>
    <n v="1440"/>
    <x v="3"/>
  </r>
  <r>
    <x v="1"/>
    <x v="1"/>
    <n v="1.5"/>
    <n v="177"/>
    <n v="265.5"/>
    <x v="3"/>
  </r>
  <r>
    <x v="1"/>
    <x v="2"/>
    <n v="1.75"/>
    <n v="82"/>
    <n v="143.5"/>
    <x v="3"/>
  </r>
  <r>
    <x v="1"/>
    <x v="3"/>
    <n v="3"/>
    <n v="196"/>
    <n v="588"/>
    <x v="3"/>
  </r>
  <r>
    <x v="1"/>
    <x v="4"/>
    <n v="1.75"/>
    <n v="94"/>
    <n v="164.5"/>
    <x v="3"/>
  </r>
  <r>
    <x v="1"/>
    <x v="5"/>
    <n v="10"/>
    <n v="29"/>
    <n v="290"/>
    <x v="3"/>
  </r>
  <r>
    <x v="1"/>
    <x v="6"/>
    <n v="2.5"/>
    <n v="144"/>
    <n v="360"/>
    <x v="3"/>
  </r>
  <r>
    <x v="2"/>
    <x v="0"/>
    <n v="12"/>
    <n v="50"/>
    <n v="600"/>
    <x v="3"/>
  </r>
  <r>
    <x v="2"/>
    <x v="1"/>
    <n v="1.5"/>
    <n v="135"/>
    <n v="202.5"/>
    <x v="3"/>
  </r>
  <r>
    <x v="2"/>
    <x v="2"/>
    <n v="1.75"/>
    <n v="40"/>
    <n v="70"/>
    <x v="3"/>
  </r>
  <r>
    <x v="2"/>
    <x v="3"/>
    <n v="3"/>
    <n v="154"/>
    <n v="462"/>
    <x v="3"/>
  </r>
  <r>
    <x v="2"/>
    <x v="4"/>
    <n v="1.75"/>
    <n v="62"/>
    <n v="108.5"/>
    <x v="3"/>
  </r>
  <r>
    <x v="2"/>
    <x v="5"/>
    <n v="10"/>
    <n v="13"/>
    <n v="130"/>
    <x v="3"/>
  </r>
  <r>
    <x v="2"/>
    <x v="6"/>
    <n v="2.5"/>
    <n v="96"/>
    <n v="240"/>
    <x v="3"/>
  </r>
  <r>
    <x v="0"/>
    <x v="0"/>
    <n v="12"/>
    <n v="70"/>
    <n v="840"/>
    <x v="4"/>
  </r>
  <r>
    <x v="0"/>
    <x v="1"/>
    <n v="1.5"/>
    <n v="160"/>
    <n v="240"/>
    <x v="4"/>
  </r>
  <r>
    <x v="0"/>
    <x v="2"/>
    <n v="1.75"/>
    <n v="60"/>
    <n v="105"/>
    <x v="4"/>
  </r>
  <r>
    <x v="0"/>
    <x v="3"/>
    <n v="3"/>
    <n v="122"/>
    <n v="366"/>
    <x v="4"/>
  </r>
  <r>
    <x v="0"/>
    <x v="4"/>
    <n v="1.75"/>
    <n v="32"/>
    <n v="56"/>
    <x v="4"/>
  </r>
  <r>
    <x v="0"/>
    <x v="5"/>
    <n v="10"/>
    <n v="13"/>
    <n v="130"/>
    <x v="4"/>
  </r>
  <r>
    <x v="0"/>
    <x v="6"/>
    <n v="2.5"/>
    <n v="74"/>
    <n v="185"/>
    <x v="4"/>
  </r>
  <r>
    <x v="1"/>
    <x v="0"/>
    <n v="12"/>
    <n v="150"/>
    <n v="1800"/>
    <x v="4"/>
  </r>
  <r>
    <x v="1"/>
    <x v="1"/>
    <n v="1.5"/>
    <n v="200"/>
    <n v="300"/>
    <x v="4"/>
  </r>
  <r>
    <x v="1"/>
    <x v="2"/>
    <n v="1.75"/>
    <n v="76"/>
    <n v="133"/>
    <x v="4"/>
  </r>
  <r>
    <x v="1"/>
    <x v="3"/>
    <n v="3"/>
    <n v="163"/>
    <n v="489"/>
    <x v="4"/>
  </r>
  <r>
    <x v="1"/>
    <x v="4"/>
    <n v="1.75"/>
    <n v="106"/>
    <n v="185.5"/>
    <x v="4"/>
  </r>
  <r>
    <x v="1"/>
    <x v="5"/>
    <n v="10"/>
    <n v="31"/>
    <n v="310"/>
    <x v="4"/>
  </r>
  <r>
    <x v="1"/>
    <x v="6"/>
    <n v="2.5"/>
    <n v="160"/>
    <n v="400"/>
    <x v="4"/>
  </r>
  <r>
    <x v="2"/>
    <x v="0"/>
    <n v="12"/>
    <n v="61"/>
    <n v="732"/>
    <x v="4"/>
  </r>
  <r>
    <x v="2"/>
    <x v="1"/>
    <n v="1.5"/>
    <n v="144"/>
    <n v="216"/>
    <x v="4"/>
  </r>
  <r>
    <x v="2"/>
    <x v="2"/>
    <n v="1.75"/>
    <n v="30"/>
    <n v="52.5"/>
    <x v="4"/>
  </r>
  <r>
    <x v="2"/>
    <x v="3"/>
    <n v="3"/>
    <n v="96"/>
    <n v="288"/>
    <x v="4"/>
  </r>
  <r>
    <x v="2"/>
    <x v="4"/>
    <n v="1.75"/>
    <n v="54"/>
    <n v="94.5"/>
    <x v="4"/>
  </r>
  <r>
    <x v="2"/>
    <x v="5"/>
    <n v="10"/>
    <n v="18"/>
    <n v="180"/>
    <x v="4"/>
  </r>
  <r>
    <x v="2"/>
    <x v="6"/>
    <n v="2.5"/>
    <n v="100"/>
    <n v="250"/>
    <x v="4"/>
  </r>
  <r>
    <x v="0"/>
    <x v="0"/>
    <n v="12"/>
    <n v="65"/>
    <n v="780"/>
    <x v="5"/>
  </r>
  <r>
    <x v="0"/>
    <x v="1"/>
    <n v="1.5"/>
    <n v="76"/>
    <n v="114"/>
    <x v="5"/>
  </r>
  <r>
    <x v="0"/>
    <x v="2"/>
    <n v="1.75"/>
    <n v="72"/>
    <n v="126"/>
    <x v="5"/>
  </r>
  <r>
    <x v="0"/>
    <x v="3"/>
    <n v="3"/>
    <n v="65"/>
    <n v="195"/>
    <x v="5"/>
  </r>
  <r>
    <x v="0"/>
    <x v="4"/>
    <n v="1.75"/>
    <n v="36"/>
    <n v="63"/>
    <x v="5"/>
  </r>
  <r>
    <x v="0"/>
    <x v="5"/>
    <n v="10"/>
    <n v="15"/>
    <n v="150"/>
    <x v="5"/>
  </r>
  <r>
    <x v="0"/>
    <x v="6"/>
    <n v="2.5"/>
    <n v="36"/>
    <n v="90"/>
    <x v="5"/>
  </r>
  <r>
    <x v="1"/>
    <x v="0"/>
    <n v="12"/>
    <n v="130"/>
    <n v="1560"/>
    <x v="5"/>
  </r>
  <r>
    <x v="1"/>
    <x v="1"/>
    <n v="1.5"/>
    <n v="130"/>
    <n v="195"/>
    <x v="5"/>
  </r>
  <r>
    <x v="1"/>
    <x v="2"/>
    <n v="1.75"/>
    <n v="56"/>
    <n v="98"/>
    <x v="5"/>
  </r>
  <r>
    <x v="1"/>
    <x v="3"/>
    <n v="3"/>
    <n v="112"/>
    <n v="336"/>
    <x v="5"/>
  </r>
  <r>
    <x v="1"/>
    <x v="4"/>
    <n v="1.75"/>
    <n v="86"/>
    <n v="150.5"/>
    <x v="5"/>
  </r>
  <r>
    <x v="1"/>
    <x v="5"/>
    <n v="10"/>
    <n v="44"/>
    <n v="440"/>
    <x v="5"/>
  </r>
  <r>
    <x v="1"/>
    <x v="6"/>
    <n v="2.5"/>
    <n v="64"/>
    <n v="160"/>
    <x v="5"/>
  </r>
  <r>
    <x v="2"/>
    <x v="0"/>
    <n v="12"/>
    <n v="80"/>
    <n v="960"/>
    <x v="5"/>
  </r>
  <r>
    <x v="2"/>
    <x v="1"/>
    <n v="1.5"/>
    <n v="64"/>
    <n v="96"/>
    <x v="5"/>
  </r>
  <r>
    <x v="2"/>
    <x v="2"/>
    <n v="1.75"/>
    <n v="20"/>
    <n v="35"/>
    <x v="5"/>
  </r>
  <r>
    <x v="2"/>
    <x v="3"/>
    <n v="3"/>
    <n v="77"/>
    <n v="231"/>
    <x v="5"/>
  </r>
  <r>
    <x v="2"/>
    <x v="4"/>
    <n v="1.75"/>
    <n v="40"/>
    <n v="70"/>
    <x v="5"/>
  </r>
  <r>
    <x v="2"/>
    <x v="5"/>
    <n v="10"/>
    <n v="22"/>
    <n v="220"/>
    <x v="5"/>
  </r>
  <r>
    <x v="2"/>
    <x v="6"/>
    <n v="2.5"/>
    <n v="33"/>
    <n v="82.5"/>
    <x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n v="12"/>
    <n v="25"/>
    <n v="300"/>
    <x v="0"/>
  </r>
  <r>
    <x v="0"/>
    <x v="1"/>
    <n v="1.5"/>
    <n v="88"/>
    <n v="132"/>
    <x v="0"/>
  </r>
  <r>
    <x v="0"/>
    <x v="2"/>
    <n v="1.75"/>
    <n v="5"/>
    <n v="8.75"/>
    <x v="0"/>
  </r>
  <r>
    <x v="0"/>
    <x v="3"/>
    <n v="3"/>
    <n v="52"/>
    <n v="156"/>
    <x v="0"/>
  </r>
  <r>
    <x v="0"/>
    <x v="4"/>
    <n v="1.75"/>
    <n v="28"/>
    <n v="49"/>
    <x v="0"/>
  </r>
  <r>
    <x v="0"/>
    <x v="5"/>
    <n v="10"/>
    <n v="5"/>
    <n v="50"/>
    <x v="0"/>
  </r>
  <r>
    <x v="0"/>
    <x v="6"/>
    <n v="2.5"/>
    <n v="23"/>
    <n v="57.5"/>
    <x v="0"/>
  </r>
  <r>
    <x v="1"/>
    <x v="0"/>
    <n v="12"/>
    <n v="50"/>
    <n v="600"/>
    <x v="0"/>
  </r>
  <r>
    <x v="1"/>
    <x v="1"/>
    <n v="1.5"/>
    <n v="126"/>
    <n v="189"/>
    <x v="0"/>
  </r>
  <r>
    <x v="1"/>
    <x v="2"/>
    <n v="1.75"/>
    <n v="44"/>
    <n v="77"/>
    <x v="0"/>
  </r>
  <r>
    <x v="1"/>
    <x v="3"/>
    <n v="3"/>
    <n v="88"/>
    <n v="264"/>
    <x v="0"/>
  </r>
  <r>
    <x v="1"/>
    <x v="4"/>
    <n v="1.75"/>
    <n v="48"/>
    <n v="84"/>
    <x v="0"/>
  </r>
  <r>
    <x v="1"/>
    <x v="5"/>
    <n v="10"/>
    <n v="16"/>
    <n v="160"/>
    <x v="0"/>
  </r>
  <r>
    <x v="1"/>
    <x v="6"/>
    <n v="2.5"/>
    <n v="54"/>
    <n v="135"/>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
  <r>
    <n v="67"/>
    <x v="0"/>
    <x v="0"/>
    <x v="0"/>
    <x v="0"/>
    <x v="0"/>
    <n v="4"/>
    <n v="74"/>
    <n v="10"/>
    <x v="0"/>
    <x v="0"/>
    <x v="0"/>
    <s v="USA"/>
  </r>
  <r>
    <n v="30"/>
    <x v="1"/>
    <x v="1"/>
    <x v="1"/>
    <x v="1"/>
    <x v="1"/>
    <n v="9"/>
    <n v="34"/>
    <n v="27"/>
    <x v="1"/>
    <x v="1"/>
    <x v="1"/>
    <s v="USA"/>
  </r>
  <r>
    <n v="47"/>
    <x v="2"/>
    <x v="2"/>
    <x v="2"/>
    <x v="1"/>
    <x v="2"/>
    <n v="6"/>
    <n v="34"/>
    <n v="6"/>
    <x v="1"/>
    <x v="2"/>
    <x v="2"/>
    <s v="USA"/>
  </r>
  <r>
    <n v="55"/>
    <x v="3"/>
    <x v="3"/>
    <x v="3"/>
    <x v="1"/>
    <x v="3"/>
    <n v="1"/>
    <n v="34"/>
    <n v="29"/>
    <x v="1"/>
    <x v="3"/>
    <x v="3"/>
    <s v="USA"/>
  </r>
  <r>
    <n v="77"/>
    <x v="4"/>
    <x v="1"/>
    <x v="4"/>
    <x v="2"/>
    <x v="4"/>
    <n v="9"/>
    <n v="6"/>
    <n v="26"/>
    <x v="2"/>
    <x v="4"/>
    <x v="4"/>
    <s v="USA"/>
  </r>
  <r>
    <n v="42"/>
    <x v="5"/>
    <x v="3"/>
    <x v="0"/>
    <x v="2"/>
    <x v="5"/>
    <n v="1"/>
    <n v="6"/>
    <n v="10"/>
    <x v="2"/>
    <x v="0"/>
    <x v="0"/>
    <s v="USA"/>
  </r>
  <r>
    <n v="76"/>
    <x v="4"/>
    <x v="1"/>
    <x v="5"/>
    <x v="3"/>
    <x v="6"/>
    <n v="9"/>
    <n v="4"/>
    <n v="25"/>
    <x v="3"/>
    <x v="5"/>
    <x v="0"/>
    <s v="USA"/>
  </r>
  <r>
    <n v="42"/>
    <x v="5"/>
    <x v="3"/>
    <x v="0"/>
    <x v="3"/>
    <x v="7"/>
    <n v="1"/>
    <n v="4"/>
    <n v="10"/>
    <x v="3"/>
    <x v="0"/>
    <x v="0"/>
    <s v="USA"/>
  </r>
  <r>
    <n v="32"/>
    <x v="6"/>
    <x v="0"/>
    <x v="6"/>
    <x v="4"/>
    <x v="8"/>
    <n v="4"/>
    <n v="1"/>
    <n v="12"/>
    <x v="1"/>
    <x v="6"/>
    <x v="1"/>
    <s v="USA"/>
  </r>
  <r>
    <n v="56"/>
    <x v="7"/>
    <x v="4"/>
    <x v="2"/>
    <x v="5"/>
    <x v="9"/>
    <n v="2"/>
    <n v="48"/>
    <n v="6"/>
    <x v="4"/>
    <x v="2"/>
    <x v="2"/>
    <s v="USA"/>
  </r>
  <r>
    <n v="35"/>
    <x v="8"/>
    <x v="5"/>
    <x v="3"/>
    <x v="5"/>
    <x v="9"/>
    <n v="3"/>
    <n v="48"/>
    <n v="29"/>
    <x v="4"/>
    <x v="3"/>
    <x v="3"/>
    <s v="USA"/>
  </r>
  <r>
    <n v="39"/>
    <x v="9"/>
    <x v="5"/>
    <x v="7"/>
    <x v="5"/>
    <x v="10"/>
    <n v="3"/>
    <n v="48"/>
    <n v="8"/>
    <x v="4"/>
    <x v="7"/>
    <x v="5"/>
    <s v="USA"/>
  </r>
  <r>
    <n v="75"/>
    <x v="4"/>
    <x v="0"/>
    <x v="7"/>
    <x v="5"/>
    <x v="11"/>
    <n v="4"/>
    <n v="48"/>
    <n v="8"/>
    <x v="4"/>
    <x v="7"/>
    <x v="5"/>
    <s v="USA"/>
  </r>
  <r>
    <n v="74"/>
    <x v="10"/>
    <x v="2"/>
    <x v="2"/>
    <x v="5"/>
    <x v="11"/>
    <n v="6"/>
    <n v="48"/>
    <n v="6"/>
    <x v="4"/>
    <x v="2"/>
    <x v="2"/>
    <s v="USA"/>
  </r>
  <r>
    <n v="34"/>
    <x v="11"/>
    <x v="1"/>
    <x v="8"/>
    <x v="6"/>
    <x v="12"/>
    <n v="9"/>
    <n v="19"/>
    <n v="4"/>
    <x v="5"/>
    <x v="8"/>
    <x v="6"/>
    <s v="USA"/>
  </r>
  <r>
    <n v="48"/>
    <x v="3"/>
    <x v="0"/>
    <x v="7"/>
    <x v="6"/>
    <x v="13"/>
    <n v="4"/>
    <n v="19"/>
    <n v="8"/>
    <x v="5"/>
    <x v="7"/>
    <x v="5"/>
    <s v="USA"/>
  </r>
  <r>
    <n v="33"/>
    <x v="12"/>
    <x v="2"/>
    <x v="7"/>
    <x v="6"/>
    <x v="14"/>
    <n v="6"/>
    <n v="19"/>
    <n v="8"/>
    <x v="5"/>
    <x v="7"/>
    <x v="5"/>
    <s v="USA"/>
  </r>
  <r>
    <n v="42"/>
    <x v="5"/>
    <x v="3"/>
    <x v="0"/>
    <x v="6"/>
    <x v="15"/>
    <n v="1"/>
    <n v="19"/>
    <n v="10"/>
    <x v="5"/>
    <x v="0"/>
    <x v="0"/>
    <s v="USA"/>
  </r>
  <r>
    <n v="51"/>
    <x v="3"/>
    <x v="1"/>
    <x v="4"/>
    <x v="7"/>
    <x v="16"/>
    <n v="9"/>
    <n v="41"/>
    <n v="26"/>
    <x v="6"/>
    <x v="4"/>
    <x v="4"/>
    <s v="USA"/>
  </r>
  <r>
    <n v="36"/>
    <x v="13"/>
    <x v="0"/>
    <x v="9"/>
    <x v="7"/>
    <x v="17"/>
    <n v="4"/>
    <n v="41"/>
    <n v="3"/>
    <x v="6"/>
    <x v="9"/>
    <x v="7"/>
    <s v="USA"/>
  </r>
  <r>
    <n v="45"/>
    <x v="14"/>
    <x v="3"/>
    <x v="10"/>
    <x v="7"/>
    <x v="18"/>
    <n v="1"/>
    <n v="41"/>
    <n v="28"/>
    <x v="6"/>
    <x v="10"/>
    <x v="8"/>
    <s v="USA"/>
  </r>
  <r>
    <n v="73"/>
    <x v="4"/>
    <x v="6"/>
    <x v="11"/>
    <x v="7"/>
    <x v="19"/>
    <n v="7"/>
    <n v="41"/>
    <n v="9"/>
    <x v="6"/>
    <x v="11"/>
    <x v="9"/>
    <s v="USA"/>
  </r>
  <r>
    <n v="38"/>
    <x v="15"/>
    <x v="1"/>
    <x v="10"/>
    <x v="8"/>
    <x v="20"/>
    <n v="9"/>
    <n v="43"/>
    <n v="28"/>
    <x v="1"/>
    <x v="10"/>
    <x v="8"/>
    <s v="USA"/>
  </r>
  <r>
    <n v="32"/>
    <x v="6"/>
    <x v="0"/>
    <x v="6"/>
    <x v="8"/>
    <x v="21"/>
    <n v="4"/>
    <n v="43"/>
    <n v="12"/>
    <x v="1"/>
    <x v="6"/>
    <x v="1"/>
    <s v="USA"/>
  </r>
  <r>
    <n v="72"/>
    <x v="16"/>
    <x v="3"/>
    <x v="10"/>
    <x v="8"/>
    <x v="13"/>
    <n v="1"/>
    <n v="43"/>
    <n v="28"/>
    <x v="1"/>
    <x v="10"/>
    <x v="8"/>
    <s v="USA"/>
  </r>
  <r>
    <n v="51"/>
    <x v="3"/>
    <x v="1"/>
    <x v="4"/>
    <x v="9"/>
    <x v="22"/>
    <n v="9"/>
    <n v="40"/>
    <n v="26"/>
    <x v="7"/>
    <x v="4"/>
    <x v="4"/>
    <s v="USA"/>
  </r>
  <r>
    <n v="71"/>
    <x v="0"/>
    <x v="3"/>
    <x v="12"/>
    <x v="9"/>
    <x v="23"/>
    <n v="1"/>
    <n v="40"/>
    <n v="1"/>
    <x v="7"/>
    <x v="12"/>
    <x v="10"/>
    <s v="USA"/>
  </r>
  <r>
    <n v="45"/>
    <x v="14"/>
    <x v="3"/>
    <x v="10"/>
    <x v="9"/>
    <x v="21"/>
    <n v="1"/>
    <n v="40"/>
    <n v="28"/>
    <x v="7"/>
    <x v="10"/>
    <x v="8"/>
    <s v="USA"/>
  </r>
  <r>
    <n v="37"/>
    <x v="17"/>
    <x v="7"/>
    <x v="2"/>
    <x v="10"/>
    <x v="24"/>
    <n v="8"/>
    <n v="8"/>
    <n v="6"/>
    <x v="8"/>
    <x v="2"/>
    <x v="2"/>
    <s v="USA"/>
  </r>
  <r>
    <n v="63"/>
    <x v="18"/>
    <x v="0"/>
    <x v="9"/>
    <x v="10"/>
    <x v="25"/>
    <n v="4"/>
    <n v="8"/>
    <n v="3"/>
    <x v="8"/>
    <x v="9"/>
    <x v="7"/>
    <s v="USA"/>
  </r>
  <r>
    <n v="48"/>
    <x v="3"/>
    <x v="0"/>
    <x v="7"/>
    <x v="10"/>
    <x v="26"/>
    <n v="4"/>
    <n v="8"/>
    <n v="8"/>
    <x v="8"/>
    <x v="7"/>
    <x v="5"/>
    <s v="USA"/>
  </r>
  <r>
    <n v="70"/>
    <x v="0"/>
    <x v="3"/>
    <x v="13"/>
    <x v="10"/>
    <x v="27"/>
    <n v="1"/>
    <n v="8"/>
    <n v="11"/>
    <x v="8"/>
    <x v="13"/>
    <x v="4"/>
    <s v="USA"/>
  </r>
  <r>
    <n v="79"/>
    <x v="19"/>
    <x v="4"/>
    <x v="2"/>
    <x v="11"/>
    <x v="28"/>
    <n v="2"/>
    <n v="51"/>
    <n v="6"/>
    <x v="0"/>
    <x v="2"/>
    <x v="2"/>
    <s v="USA"/>
  </r>
  <r>
    <n v="31"/>
    <x v="20"/>
    <x v="5"/>
    <x v="8"/>
    <x v="11"/>
    <x v="29"/>
    <n v="3"/>
    <n v="51"/>
    <n v="4"/>
    <x v="0"/>
    <x v="8"/>
    <x v="6"/>
    <s v="USA"/>
  </r>
  <r>
    <n v="79"/>
    <x v="19"/>
    <x v="4"/>
    <x v="2"/>
    <x v="12"/>
    <x v="30"/>
    <n v="2"/>
    <n v="7"/>
    <n v="6"/>
    <x v="0"/>
    <x v="2"/>
    <x v="2"/>
    <s v="USA"/>
  </r>
  <r>
    <n v="31"/>
    <x v="20"/>
    <x v="5"/>
    <x v="8"/>
    <x v="12"/>
    <x v="31"/>
    <n v="3"/>
    <n v="7"/>
    <n v="4"/>
    <x v="0"/>
    <x v="8"/>
    <x v="6"/>
    <s v="USA"/>
  </r>
  <r>
    <n v="30"/>
    <x v="1"/>
    <x v="1"/>
    <x v="1"/>
    <x v="13"/>
    <x v="32"/>
    <n v="9"/>
    <n v="80"/>
    <n v="27"/>
    <x v="0"/>
    <x v="1"/>
    <x v="1"/>
    <s v="USA"/>
  </r>
  <r>
    <n v="31"/>
    <x v="20"/>
    <x v="5"/>
    <x v="8"/>
    <x v="13"/>
    <x v="33"/>
    <n v="3"/>
    <n v="80"/>
    <n v="4"/>
    <x v="0"/>
    <x v="8"/>
    <x v="6"/>
    <s v="USA"/>
  </r>
  <r>
    <n v="69"/>
    <x v="0"/>
    <x v="3"/>
    <x v="0"/>
    <x v="13"/>
    <x v="34"/>
    <n v="1"/>
    <n v="80"/>
    <n v="10"/>
    <x v="0"/>
    <x v="0"/>
    <x v="0"/>
    <s v="USA"/>
  </r>
  <r>
    <n v="78"/>
    <x v="4"/>
    <x v="3"/>
    <x v="3"/>
    <x v="14"/>
    <x v="35"/>
    <n v="1"/>
    <n v="17"/>
    <n v="29"/>
    <x v="9"/>
    <x v="3"/>
    <x v="3"/>
    <s v="USA"/>
  </r>
  <r>
    <n v="40"/>
    <x v="5"/>
    <x v="0"/>
    <x v="0"/>
    <x v="15"/>
    <x v="36"/>
    <n v="4"/>
    <n v="81"/>
    <n v="10"/>
    <x v="1"/>
    <x v="0"/>
    <x v="0"/>
    <s v="USA"/>
  </r>
  <r>
    <n v="58"/>
    <x v="21"/>
    <x v="5"/>
    <x v="8"/>
    <x v="16"/>
    <x v="37"/>
    <n v="3"/>
    <n v="52"/>
    <n v="4"/>
    <x v="10"/>
    <x v="8"/>
    <x v="6"/>
    <s v="USA"/>
  </r>
  <r>
    <n v="58"/>
    <x v="21"/>
    <x v="5"/>
    <x v="8"/>
    <x v="17"/>
    <x v="38"/>
    <n v="3"/>
    <n v="20"/>
    <n v="4"/>
    <x v="2"/>
    <x v="8"/>
    <x v="6"/>
    <s v="USA"/>
  </r>
  <r>
    <n v="60"/>
    <x v="22"/>
    <x v="2"/>
    <x v="7"/>
    <x v="18"/>
    <x v="39"/>
    <n v="6"/>
    <n v="72"/>
    <n v="8"/>
    <x v="11"/>
    <x v="7"/>
    <x v="5"/>
    <s v="USA"/>
  </r>
  <r>
    <n v="46"/>
    <x v="3"/>
    <x v="6"/>
    <x v="11"/>
    <x v="18"/>
    <x v="40"/>
    <n v="7"/>
    <n v="72"/>
    <n v="9"/>
    <x v="11"/>
    <x v="11"/>
    <x v="9"/>
    <s v="USA"/>
  </r>
  <r>
    <n v="51"/>
    <x v="3"/>
    <x v="1"/>
    <x v="4"/>
    <x v="19"/>
    <x v="41"/>
    <n v="9"/>
    <n v="5"/>
    <n v="26"/>
    <x v="12"/>
    <x v="4"/>
    <x v="4"/>
    <s v="USA"/>
  </r>
  <r>
    <n v="46"/>
    <x v="3"/>
    <x v="6"/>
    <x v="11"/>
    <x v="20"/>
    <x v="42"/>
    <n v="7"/>
    <n v="57"/>
    <n v="9"/>
    <x v="13"/>
    <x v="11"/>
    <x v="9"/>
    <s v="USA"/>
  </r>
  <r>
    <n v="50"/>
    <x v="3"/>
    <x v="1"/>
    <x v="5"/>
    <x v="21"/>
    <x v="0"/>
    <n v="9"/>
    <n v="21"/>
    <n v="25"/>
    <x v="5"/>
    <x v="5"/>
    <x v="0"/>
    <s v="USA"/>
  </r>
  <r>
    <n v="63"/>
    <x v="18"/>
    <x v="0"/>
    <x v="9"/>
    <x v="22"/>
    <x v="43"/>
    <n v="4"/>
    <n v="3"/>
    <n v="3"/>
    <x v="3"/>
    <x v="9"/>
    <x v="7"/>
    <s v="US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8CEA13-7502-4516-AB97-443722BD01AD}"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E21"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Number of Items Sold" fld="3" baseField="0" baseItem="0"/>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F83A025-9A19-4755-9772-57F91210E80E}"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s" colHeaderCaption="Location">
  <location ref="A8:E16"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h="1" x="6"/>
        <item t="default"/>
      </items>
    </pivotField>
    <pivotField numFmtId="164" showAll="0"/>
    <pivotField dataField="1" showAll="0"/>
    <pivotField numFmtId="164" showAll="0"/>
    <pivotField axis="axisPage" numFmtId="165" multipleItemSelectionAllowed="1" showAll="0">
      <items count="7">
        <item x="0"/>
        <item x="1"/>
        <item x="2"/>
        <item x="3"/>
        <item x="4"/>
        <item x="5"/>
        <item t="default"/>
      </items>
    </pivotField>
  </pivotFields>
  <rowFields count="1">
    <field x="1"/>
  </rowFields>
  <rowItems count="7">
    <i>
      <x/>
    </i>
    <i>
      <x v="1"/>
    </i>
    <i>
      <x v="2"/>
    </i>
    <i>
      <x v="3"/>
    </i>
    <i>
      <x v="4"/>
    </i>
    <i>
      <x v="5"/>
    </i>
    <i t="grand">
      <x/>
    </i>
  </rowItems>
  <colFields count="1">
    <field x="0"/>
  </colFields>
  <colItems count="4">
    <i>
      <x/>
    </i>
    <i>
      <x v="1"/>
    </i>
    <i>
      <x v="2"/>
    </i>
    <i t="grand">
      <x/>
    </i>
  </colItems>
  <pageFields count="1">
    <pageField fld="5" hier="-1"/>
  </pageFields>
  <dataFields count="1">
    <dataField name="Number of Items Sold" fld="3" baseField="0" baseItem="0"/>
  </dataField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E3E1AB-5AA3-4CEA-8931-EFA98C0FE97A}"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s" colHeaderCaption="Location">
  <location ref="A8:E17"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Number of Items Sold" fld="3" baseField="0" baseItem="0"/>
  </dataField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D54527-5383-441F-A210-F34BE161D747}"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E20"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Sum of Items Sold" fld="3" baseField="1" baseItem="2"/>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4793E6-AFA9-4B3E-9A65-6CE95EDDBC90}"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7:D56" firstHeaderRow="1" firstDataRow="2" firstDataCol="1" rowPageCount="1" colPageCount="1"/>
  <pivotFields count="6">
    <pivotField axis="axisCol" showAll="0">
      <items count="3">
        <item x="0"/>
        <item x="1"/>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2">
        <item x="0"/>
        <item t="default"/>
      </items>
    </pivotField>
  </pivotFields>
  <rowFields count="1">
    <field x="1"/>
  </rowFields>
  <rowItems count="8">
    <i>
      <x/>
    </i>
    <i>
      <x v="1"/>
    </i>
    <i>
      <x v="2"/>
    </i>
    <i>
      <x v="3"/>
    </i>
    <i>
      <x v="4"/>
    </i>
    <i>
      <x v="5"/>
    </i>
    <i>
      <x v="6"/>
    </i>
    <i t="grand">
      <x/>
    </i>
  </rowItems>
  <colFields count="1">
    <field x="0"/>
  </colFields>
  <colItems count="3">
    <i>
      <x/>
    </i>
    <i>
      <x v="1"/>
    </i>
    <i t="grand">
      <x/>
    </i>
  </colItems>
  <pageFields count="1">
    <pageField fld="5" hier="-1"/>
  </pageFields>
  <dataFields count="1">
    <dataField name="Sum of Items Sold" fld="3" baseField="1" baseItem="2"/>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DCA0BF-A102-4BEE-BBC8-24A23063801C}"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E20"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Sum of Items Sold" fld="3" baseField="1" baseItem="0"/>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21DDE6-F4D2-4A94-B41B-B61189713C91}"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2"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Number of Items Sold" fld="3"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6F9DCFE-E8E4-4909-B601-308CA92533A7}" name="PivotTable4"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10:G25" firstHeaderRow="1" firstDataRow="2" firstDataCol="1"/>
  <pivotFields count="14">
    <pivotField showAll="0" defaultSubtotal="0"/>
    <pivotField axis="axisCol" numFmtId="14" showAll="0" defaultSubtotal="0">
      <items count="14">
        <item x="0"/>
        <item x="1"/>
        <item x="2"/>
        <item x="3"/>
        <item x="4"/>
        <item x="5"/>
        <item x="6"/>
        <item x="7"/>
        <item x="8"/>
        <item x="9"/>
        <item x="10"/>
        <item x="11"/>
        <item x="12"/>
        <item x="13"/>
      </items>
    </pivotField>
    <pivotField showAll="0" defaultSubtotal="0"/>
    <pivotField axis="axisRow" showAll="0">
      <items count="15">
        <item sd="0" x="2"/>
        <item sd="0" x="10"/>
        <item sd="0" x="4"/>
        <item sd="0" x="1"/>
        <item sd="0" x="5"/>
        <item sd="0" x="8"/>
        <item sd="0" x="3"/>
        <item sd="0" x="7"/>
        <item sd="0" x="9"/>
        <item sd="0" x="6"/>
        <item sd="0" x="0"/>
        <item sd="0" x="12"/>
        <item sd="0" x="13"/>
        <item sd="0" x="11"/>
        <item t="default" sd="0"/>
      </items>
    </pivotField>
    <pivotField axis="axisRow" showAll="0" defaultSubtotal="0">
      <items count="24">
        <item x="0"/>
        <item x="1"/>
        <item x="2"/>
        <item x="3"/>
        <item x="4"/>
        <item x="5"/>
        <item m="1" x="23"/>
        <item x="6"/>
        <item x="7"/>
        <item x="8"/>
        <item x="9"/>
        <item x="10"/>
        <item x="11"/>
        <item x="12"/>
        <item x="13"/>
        <item x="14"/>
        <item x="15"/>
        <item x="16"/>
        <item x="17"/>
        <item x="18"/>
        <item x="19"/>
        <item x="20"/>
        <item x="21"/>
        <item x="22"/>
      </items>
    </pivotField>
    <pivotField dataField="1" numFmtId="166" showAll="0" defaultSubtotal="0"/>
    <pivotField showAll="0" defaultSubtotal="0"/>
    <pivotField showAll="0" defaultSubtotal="0"/>
    <pivotField showAll="0" defaultSubtotal="0"/>
    <pivotField axis="axisRow" showAll="0" defaultSubtotal="0">
      <items count="14">
        <item x="5"/>
        <item sd="0" x="1"/>
        <item sd="0" x="4"/>
        <item x="9"/>
        <item x="7"/>
        <item x="3"/>
        <item x="11"/>
        <item sd="0" x="0"/>
        <item x="10"/>
        <item x="2"/>
        <item x="12"/>
        <item x="13"/>
        <item x="8"/>
        <item x="6"/>
      </items>
    </pivotField>
    <pivotField showAll="0" defaultSubtotal="0"/>
    <pivotField showAll="0" defaultSubtotal="0"/>
    <pivotField showAll="0" defaultSubtotal="0"/>
    <pivotField showAll="0" defaultSubtotal="0">
      <items count="3">
        <item sd="0" x="0"/>
        <item x="1"/>
        <item sd="0" x="2"/>
      </items>
    </pivotField>
  </pivotFields>
  <rowFields count="3">
    <field x="3"/>
    <field x="9"/>
    <field x="4"/>
  </rowFields>
  <rowItems count="14">
    <i>
      <x/>
    </i>
    <i>
      <x v="1"/>
    </i>
    <i>
      <x v="2"/>
    </i>
    <i>
      <x v="3"/>
    </i>
    <i>
      <x v="4"/>
    </i>
    <i>
      <x v="5"/>
    </i>
    <i>
      <x v="6"/>
    </i>
    <i>
      <x v="7"/>
    </i>
    <i>
      <x v="8"/>
    </i>
    <i>
      <x v="9"/>
    </i>
    <i>
      <x v="10"/>
    </i>
    <i>
      <x v="11"/>
    </i>
    <i>
      <x v="12"/>
    </i>
    <i>
      <x v="13"/>
    </i>
  </rowItems>
  <colFields count="1">
    <field x="1"/>
  </colFields>
  <colItems count="6">
    <i>
      <x v="1"/>
    </i>
    <i>
      <x v="2"/>
    </i>
    <i>
      <x v="3"/>
    </i>
    <i>
      <x v="4"/>
    </i>
    <i>
      <x v="5"/>
    </i>
    <i>
      <x v="6"/>
    </i>
  </colItems>
  <dataFields count="1">
    <dataField name="Sum of Sale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A7C11D5-E830-45C0-BA00-30560430EE9D}" name="PivotTable5" cacheId="4" dataOnRows="1"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F11:I143" firstHeaderRow="1" firstDataRow="1" firstDataCol="3"/>
  <pivotFields count="14">
    <pivotField compact="0" showAll="0" defaultSubtotal="0"/>
    <pivotField compact="0" numFmtId="14" showAll="0" defaultSubtotal="0">
      <items count="14">
        <item x="0"/>
        <item x="1"/>
        <item x="2"/>
        <item x="3"/>
        <item x="4"/>
        <item x="5"/>
        <item x="6"/>
        <item x="7"/>
        <item x="8"/>
        <item x="9"/>
        <item x="10"/>
        <item x="11"/>
        <item x="12"/>
        <item x="13"/>
      </items>
    </pivotField>
    <pivotField compact="0" showAll="0" defaultSubtotal="0"/>
    <pivotField compact="0" showAll="0" defaultSubtotal="0"/>
    <pivotField compact="0" showAll="0" defaultSubtotal="0"/>
    <pivotField dataField="1" compact="0" numFmtId="166" showAll="0" defaultSubtotal="0"/>
    <pivotField compact="0" showAll="0" defaultSubtotal="0"/>
    <pivotField compact="0" showAll="0" defaultSubtotal="0"/>
    <pivotField compact="0" showAll="0" defaultSubtotal="0"/>
    <pivotField axis="axisRow" compact="0" showAll="0" defaultSubtotal="0">
      <items count="14">
        <item x="5"/>
        <item x="1"/>
        <item x="4"/>
        <item x="9"/>
        <item x="7"/>
        <item x="3"/>
        <item x="11"/>
        <item x="0"/>
        <item x="10"/>
        <item x="2"/>
        <item x="12"/>
        <item x="13"/>
        <item x="8"/>
        <item x="6"/>
      </items>
    </pivotField>
    <pivotField axis="axisRow" compact="0" showAll="0" defaultSubtotal="0">
      <items count="28">
        <item m="1" x="22"/>
        <item m="1" x="16"/>
        <item m="1" x="27"/>
        <item m="1" x="14"/>
        <item m="1" x="23"/>
        <item m="1" x="24"/>
        <item m="1" x="15"/>
        <item m="1" x="20"/>
        <item m="1" x="17"/>
        <item m="1" x="25"/>
        <item m="1" x="21"/>
        <item m="1" x="19"/>
        <item m="1" x="18"/>
        <item m="1" x="26"/>
        <item sd="0" x="2"/>
        <item sd="0" x="10"/>
        <item sd="0" x="4"/>
        <item sd="0" x="1"/>
        <item sd="0" x="5"/>
        <item x="8"/>
        <item x="3"/>
        <item x="7"/>
        <item x="9"/>
        <item x="6"/>
        <item x="0"/>
        <item x="12"/>
        <item x="13"/>
        <item x="11"/>
      </items>
    </pivotField>
    <pivotField compact="0" showAll="0" defaultSubtotal="0"/>
    <pivotField compact="0" showAll="0" defaultSubtotal="0"/>
    <pivotField compact="0" subtotalTop="0" showAll="0" defaultSubtotal="0">
      <items count="3">
        <item x="0"/>
        <item x="1"/>
        <item x="2"/>
      </items>
    </pivotField>
  </pivotFields>
  <rowFields count="3">
    <field x="10"/>
    <field x="9"/>
    <field x="-2"/>
  </rowFields>
  <rowItems count="132">
    <i>
      <x v="14"/>
    </i>
    <i r="2">
      <x/>
    </i>
    <i r="2" i="1">
      <x v="1"/>
    </i>
    <i r="2" i="2">
      <x v="2"/>
    </i>
    <i>
      <x v="15"/>
    </i>
    <i r="2">
      <x/>
    </i>
    <i r="2" i="1">
      <x v="1"/>
    </i>
    <i r="2" i="2">
      <x v="2"/>
    </i>
    <i>
      <x v="16"/>
    </i>
    <i r="2">
      <x/>
    </i>
    <i r="2" i="1">
      <x v="1"/>
    </i>
    <i r="2" i="2">
      <x v="2"/>
    </i>
    <i>
      <x v="17"/>
    </i>
    <i r="2">
      <x/>
    </i>
    <i r="2" i="1">
      <x v="1"/>
    </i>
    <i r="2" i="2">
      <x v="2"/>
    </i>
    <i>
      <x v="18"/>
    </i>
    <i r="2">
      <x/>
    </i>
    <i r="2" i="1">
      <x v="1"/>
    </i>
    <i r="2" i="2">
      <x v="2"/>
    </i>
    <i>
      <x v="19"/>
    </i>
    <i r="1">
      <x/>
    </i>
    <i r="2">
      <x/>
    </i>
    <i r="2" i="1">
      <x v="1"/>
    </i>
    <i r="2" i="2">
      <x v="2"/>
    </i>
    <i r="1">
      <x v="7"/>
    </i>
    <i r="2">
      <x/>
    </i>
    <i r="2" i="1">
      <x v="1"/>
    </i>
    <i r="2" i="2">
      <x v="2"/>
    </i>
    <i r="1">
      <x v="8"/>
    </i>
    <i r="2">
      <x/>
    </i>
    <i r="2" i="1">
      <x v="1"/>
    </i>
    <i r="2" i="2">
      <x v="2"/>
    </i>
    <i r="1">
      <x v="9"/>
    </i>
    <i r="2">
      <x/>
    </i>
    <i r="2" i="1">
      <x v="1"/>
    </i>
    <i r="2" i="2">
      <x v="2"/>
    </i>
    <i>
      <x v="20"/>
    </i>
    <i r="1">
      <x v="1"/>
    </i>
    <i r="2">
      <x/>
    </i>
    <i r="2" i="1">
      <x v="1"/>
    </i>
    <i r="2" i="2">
      <x v="2"/>
    </i>
    <i r="1">
      <x v="2"/>
    </i>
    <i r="2">
      <x/>
    </i>
    <i r="2" i="1">
      <x v="1"/>
    </i>
    <i r="2" i="2">
      <x v="2"/>
    </i>
    <i r="1">
      <x v="3"/>
    </i>
    <i r="2">
      <x/>
    </i>
    <i r="2" i="1">
      <x v="1"/>
    </i>
    <i r="2" i="2">
      <x v="2"/>
    </i>
    <i>
      <x v="21"/>
    </i>
    <i r="1">
      <x/>
    </i>
    <i r="2">
      <x/>
    </i>
    <i r="2" i="1">
      <x v="1"/>
    </i>
    <i r="2" i="2">
      <x v="2"/>
    </i>
    <i r="1">
      <x v="2"/>
    </i>
    <i r="2">
      <x/>
    </i>
    <i r="2" i="1">
      <x v="1"/>
    </i>
    <i r="2" i="2">
      <x v="2"/>
    </i>
    <i r="1">
      <x v="6"/>
    </i>
    <i r="2">
      <x/>
    </i>
    <i r="2" i="1">
      <x v="1"/>
    </i>
    <i r="2" i="2">
      <x v="2"/>
    </i>
    <i r="1">
      <x v="12"/>
    </i>
    <i r="2">
      <x/>
    </i>
    <i r="2" i="1">
      <x v="1"/>
    </i>
    <i r="2" i="2">
      <x v="2"/>
    </i>
    <i>
      <x v="22"/>
    </i>
    <i r="1">
      <x v="5"/>
    </i>
    <i r="2">
      <x/>
    </i>
    <i r="2" i="1">
      <x v="1"/>
    </i>
    <i r="2" i="2">
      <x v="2"/>
    </i>
    <i r="1">
      <x v="12"/>
    </i>
    <i r="2">
      <x/>
    </i>
    <i r="2" i="1">
      <x v="1"/>
    </i>
    <i r="2" i="2">
      <x v="2"/>
    </i>
    <i r="1">
      <x v="13"/>
    </i>
    <i r="2">
      <x/>
    </i>
    <i r="2" i="1">
      <x v="1"/>
    </i>
    <i r="2" i="2">
      <x v="2"/>
    </i>
    <i>
      <x v="23"/>
    </i>
    <i r="1">
      <x v="1"/>
    </i>
    <i r="2">
      <x/>
    </i>
    <i r="2" i="1">
      <x v="1"/>
    </i>
    <i r="2" i="2">
      <x v="2"/>
    </i>
    <i>
      <x v="24"/>
    </i>
    <i r="1">
      <x/>
    </i>
    <i r="2">
      <x/>
    </i>
    <i r="2" i="1">
      <x v="1"/>
    </i>
    <i r="2" i="2">
      <x v="2"/>
    </i>
    <i r="1">
      <x v="1"/>
    </i>
    <i r="2">
      <x/>
    </i>
    <i r="2" i="1">
      <x v="1"/>
    </i>
    <i r="2" i="2">
      <x v="2"/>
    </i>
    <i r="1">
      <x v="5"/>
    </i>
    <i r="2">
      <x/>
    </i>
    <i r="2" i="1">
      <x v="1"/>
    </i>
    <i r="2" i="2">
      <x v="2"/>
    </i>
    <i r="1">
      <x v="7"/>
    </i>
    <i r="2">
      <x/>
    </i>
    <i r="2" i="1">
      <x v="1"/>
    </i>
    <i r="2" i="2">
      <x v="2"/>
    </i>
    <i r="1">
      <x v="9"/>
    </i>
    <i r="2">
      <x/>
    </i>
    <i r="2" i="1">
      <x v="1"/>
    </i>
    <i r="2" i="2">
      <x v="2"/>
    </i>
    <i>
      <x v="25"/>
    </i>
    <i r="1">
      <x v="4"/>
    </i>
    <i r="2">
      <x/>
    </i>
    <i r="2" i="1">
      <x v="1"/>
    </i>
    <i r="2" i="2">
      <x v="2"/>
    </i>
    <i>
      <x v="26"/>
    </i>
    <i r="1">
      <x v="12"/>
    </i>
    <i r="2">
      <x/>
    </i>
    <i r="2" i="1">
      <x v="1"/>
    </i>
    <i r="2" i="2">
      <x v="2"/>
    </i>
    <i>
      <x v="27"/>
    </i>
    <i r="1">
      <x v="6"/>
    </i>
    <i r="2">
      <x/>
    </i>
    <i r="2" i="1">
      <x v="1"/>
    </i>
    <i r="2" i="2">
      <x v="2"/>
    </i>
    <i r="1">
      <x v="11"/>
    </i>
    <i r="2">
      <x/>
    </i>
    <i r="2" i="1">
      <x v="1"/>
    </i>
    <i r="2" i="2">
      <x v="2"/>
    </i>
    <i r="1">
      <x v="13"/>
    </i>
    <i r="2">
      <x/>
    </i>
    <i r="2" i="1">
      <x v="1"/>
    </i>
    <i r="2" i="2">
      <x v="2"/>
    </i>
    <i t="grand">
      <x/>
    </i>
    <i t="grand" i="1">
      <x/>
    </i>
    <i t="grand" i="2">
      <x/>
    </i>
  </rowItems>
  <colItems count="1">
    <i/>
  </colItems>
  <dataFields count="3">
    <dataField name="Min of Sales" fld="5" subtotal="min" baseField="10" baseItem="14" numFmtId="167"/>
    <dataField name="Average of Sales" fld="5" subtotal="average" baseField="10" baseItem="14" numFmtId="167"/>
    <dataField name="Max of Sales" fld="5" subtotal="max" baseField="10" baseItem="1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3EC9639-621D-4D8F-94F7-CACF67A629F8}" name="PivotTable6" cacheId="4"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A11:D94" firstHeaderRow="0" firstDataRow="1" firstDataCol="2"/>
  <pivotFields count="14">
    <pivotField compact="0" showAll="0" defaultSubtotal="0"/>
    <pivotField compact="0" numFmtId="14" showAll="0" defaultSubtotal="0">
      <items count="14">
        <item x="0"/>
        <item x="1"/>
        <item x="2"/>
        <item x="3"/>
        <item x="4"/>
        <item x="5"/>
        <item x="6"/>
        <item x="7"/>
        <item x="8"/>
        <item x="9"/>
        <item x="10"/>
        <item x="11"/>
        <item x="12"/>
        <item x="13"/>
      </items>
    </pivotField>
    <pivotField compact="0" showAll="0" defaultSubtotal="0"/>
    <pivotField compact="0" showAll="0" defaultSubtotal="0"/>
    <pivotField compact="0" showAll="0"/>
    <pivotField dataField="1" compact="0" numFmtId="166" showAll="0" defaultSubtotal="0"/>
    <pivotField compact="0" showAll="0" defaultSubtotal="0"/>
    <pivotField compact="0" showAll="0" defaultSubtotal="0"/>
    <pivotField compact="0" showAll="0" defaultSubtotal="0"/>
    <pivotField axis="axisRow" compact="0" showAll="0" sumSubtotal="1" countASubtotal="1">
      <items count="16">
        <item x="5"/>
        <item x="1"/>
        <item x="4"/>
        <item x="9"/>
        <item x="7"/>
        <item x="3"/>
        <item x="11"/>
        <item x="0"/>
        <item x="10"/>
        <item x="2"/>
        <item x="12"/>
        <item x="13"/>
        <item x="8"/>
        <item x="6"/>
        <item t="countA"/>
        <item t="sum"/>
      </items>
    </pivotField>
    <pivotField axis="axisRow" compact="0" showAll="0">
      <items count="29">
        <item m="1" x="22"/>
        <item m="1" x="16"/>
        <item m="1" x="27"/>
        <item m="1" x="14"/>
        <item m="1" x="23"/>
        <item m="1" x="24"/>
        <item m="1" x="15"/>
        <item m="1" x="20"/>
        <item m="1" x="17"/>
        <item m="1" x="25"/>
        <item m="1" x="21"/>
        <item m="1" x="19"/>
        <item m="1" x="18"/>
        <item m="1" x="26"/>
        <item x="2"/>
        <item x="10"/>
        <item x="4"/>
        <item x="1"/>
        <item x="5"/>
        <item x="8"/>
        <item x="3"/>
        <item x="7"/>
        <item x="9"/>
        <item x="6"/>
        <item x="0"/>
        <item x="12"/>
        <item x="13"/>
        <item x="11"/>
        <item t="default"/>
      </items>
    </pivotField>
    <pivotField compact="0" showAll="0" defaultSubtotal="0"/>
    <pivotField compact="0" showAll="0" defaultSubtotal="0"/>
    <pivotField compact="0" subtotalTop="0" showAll="0" defaultSubtotal="0">
      <items count="3">
        <item x="0"/>
        <item x="1"/>
        <item x="2"/>
      </items>
    </pivotField>
  </pivotFields>
  <rowFields count="2">
    <field x="10"/>
    <field x="9"/>
  </rowFields>
  <rowItems count="83">
    <i>
      <x v="14"/>
    </i>
    <i r="1">
      <x v="1"/>
    </i>
    <i r="1">
      <x v="2"/>
    </i>
    <i r="1">
      <x v="7"/>
    </i>
    <i r="1">
      <x v="12"/>
    </i>
    <i>
      <x v="15"/>
    </i>
    <i r="1">
      <x v="1"/>
    </i>
    <i r="1">
      <x v="4"/>
    </i>
    <i r="1">
      <x v="13"/>
    </i>
    <i>
      <x v="16"/>
    </i>
    <i r="1">
      <x v="4"/>
    </i>
    <i r="1">
      <x v="9"/>
    </i>
    <i r="1">
      <x v="10"/>
    </i>
    <i r="1">
      <x v="13"/>
    </i>
    <i>
      <x v="17"/>
    </i>
    <i r="1">
      <x v="1"/>
    </i>
    <i r="1">
      <x v="7"/>
    </i>
    <i>
      <x v="18"/>
    </i>
    <i r="1">
      <x/>
    </i>
    <i r="1">
      <x v="5"/>
    </i>
    <i>
      <x v="19"/>
    </i>
    <i r="1">
      <x/>
    </i>
    <i r="1">
      <x v="7"/>
    </i>
    <i r="1">
      <x v="8"/>
    </i>
    <i r="1">
      <x v="9"/>
    </i>
    <i>
      <x v="20"/>
    </i>
    <i r="1">
      <x v="1"/>
    </i>
    <i r="1">
      <x v="2"/>
    </i>
    <i r="1">
      <x v="3"/>
    </i>
    <i>
      <x v="21"/>
    </i>
    <i r="1">
      <x/>
    </i>
    <i r="1">
      <x v="2"/>
    </i>
    <i r="1">
      <x v="6"/>
    </i>
    <i r="1">
      <x v="12"/>
    </i>
    <i>
      <x v="22"/>
    </i>
    <i r="1">
      <x v="5"/>
    </i>
    <i r="1">
      <x v="12"/>
    </i>
    <i r="1">
      <x v="13"/>
    </i>
    <i>
      <x v="23"/>
    </i>
    <i r="1">
      <x v="1"/>
    </i>
    <i>
      <x v="24"/>
    </i>
    <i r="1">
      <x/>
    </i>
    <i r="1">
      <x v="1"/>
    </i>
    <i r="1">
      <x v="5"/>
    </i>
    <i r="1">
      <x v="7"/>
    </i>
    <i r="1">
      <x v="9"/>
    </i>
    <i>
      <x v="25"/>
    </i>
    <i r="1">
      <x v="4"/>
    </i>
    <i>
      <x v="26"/>
    </i>
    <i r="1">
      <x v="12"/>
    </i>
    <i>
      <x v="27"/>
    </i>
    <i r="1">
      <x v="6"/>
    </i>
    <i r="1">
      <x v="11"/>
    </i>
    <i r="1">
      <x v="13"/>
    </i>
    <i t="sum">
      <x v="1048832"/>
      <x/>
    </i>
    <i t="countA" r="1">
      <x/>
    </i>
    <i t="sum" r="1">
      <x v="1"/>
    </i>
    <i t="countA" r="1">
      <x v="1"/>
    </i>
    <i t="sum" r="1">
      <x v="2"/>
    </i>
    <i t="countA" r="1">
      <x v="2"/>
    </i>
    <i t="sum" r="1">
      <x v="3"/>
    </i>
    <i t="countA" r="1">
      <x v="3"/>
    </i>
    <i t="sum" r="1">
      <x v="4"/>
    </i>
    <i t="countA" r="1">
      <x v="4"/>
    </i>
    <i t="sum" r="1">
      <x v="5"/>
    </i>
    <i t="countA" r="1">
      <x v="5"/>
    </i>
    <i t="sum" r="1">
      <x v="6"/>
    </i>
    <i t="countA" r="1">
      <x v="6"/>
    </i>
    <i t="sum" r="1">
      <x v="7"/>
    </i>
    <i t="countA" r="1">
      <x v="7"/>
    </i>
    <i t="sum" r="1">
      <x v="8"/>
    </i>
    <i t="countA" r="1">
      <x v="8"/>
    </i>
    <i t="sum" r="1">
      <x v="9"/>
    </i>
    <i t="countA" r="1">
      <x v="9"/>
    </i>
    <i t="sum" r="1">
      <x v="10"/>
    </i>
    <i t="countA" r="1">
      <x v="10"/>
    </i>
    <i t="sum" r="1">
      <x v="11"/>
    </i>
    <i t="countA" r="1">
      <x v="11"/>
    </i>
    <i t="sum" r="1">
      <x v="12"/>
    </i>
    <i t="countA" r="1">
      <x v="12"/>
    </i>
    <i t="sum" r="1">
      <x v="13"/>
    </i>
    <i t="countA" r="1">
      <x v="13"/>
    </i>
    <i t="grand">
      <x/>
    </i>
  </rowItems>
  <colFields count="1">
    <field x="-2"/>
  </colFields>
  <colItems count="2">
    <i>
      <x/>
    </i>
    <i i="1">
      <x v="1"/>
    </i>
  </colItems>
  <dataFields count="2">
    <dataField name="Count of Sales" fld="5" subtotal="count" baseField="10" baseItem="14"/>
    <dataField name="Total Sales" fld="5" baseField="10" baseItem="14"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14E0CAE-4800-443A-ABFC-6B22D7F9F815}" name="PivotTable6" cacheId="4" applyNumberFormats="0" applyBorderFormats="0" applyFontFormats="0" applyPatternFormats="0" applyAlignmentFormats="0" applyWidthHeightFormats="1" dataCaption="Values" updatedVersion="8" minRefreshableVersion="5" itemPrintTitles="1" createdVersion="8" indent="0" compact="0" outline="1" outlineData="1" compactData="0" multipleFieldFilters="0">
  <location ref="B11:Q27" firstHeaderRow="1" firstDataRow="2" firstDataCol="1"/>
  <pivotFields count="14">
    <pivotField compact="0" showAll="0" defaultSubtotal="0"/>
    <pivotField axis="axisCol" compact="0" numFmtId="14" defaultSubtotal="0">
      <items count="14">
        <item x="0"/>
        <item x="1"/>
        <item x="2"/>
        <item x="3"/>
        <item x="4"/>
        <item x="5"/>
        <item x="6"/>
        <item x="7"/>
        <item x="8"/>
        <item x="9"/>
        <item x="10"/>
        <item x="11"/>
        <item x="12"/>
        <item x="13"/>
      </items>
    </pivotField>
    <pivotField compact="0" showAll="0" defaultSubtotal="0">
      <items count="8">
        <item x="4"/>
        <item x="1"/>
        <item x="5"/>
        <item x="7"/>
        <item x="0"/>
        <item x="2"/>
        <item x="3"/>
        <item x="6"/>
      </items>
    </pivotField>
    <pivotField compact="0" showAll="0" defaultSubtotal="0">
      <items count="14">
        <item x="2"/>
        <item x="10"/>
        <item x="4"/>
        <item x="1"/>
        <item x="5"/>
        <item x="8"/>
        <item x="3"/>
        <item x="7"/>
        <item x="9"/>
        <item x="6"/>
        <item x="0"/>
        <item x="12"/>
        <item x="13"/>
        <item x="11"/>
      </items>
    </pivotField>
    <pivotField compact="0" showAll="0"/>
    <pivotField dataField="1" compact="0" numFmtId="166" showAll="0" defaultSubtotal="0"/>
    <pivotField compact="0" showAll="0" defaultSubtotal="0"/>
    <pivotField compact="0" showAll="0" defaultSubtotal="0"/>
    <pivotField compact="0" showAll="0" defaultSubtotal="0"/>
    <pivotField axis="axisRow" compact="0" showAll="0" sumSubtotal="1" countASubtotal="1">
      <items count="16">
        <item x="5"/>
        <item x="1"/>
        <item x="4"/>
        <item x="9"/>
        <item x="7"/>
        <item x="3"/>
        <item x="11"/>
        <item x="0"/>
        <item x="10"/>
        <item x="2"/>
        <item x="12"/>
        <item x="13"/>
        <item x="8"/>
        <item x="6"/>
        <item t="countA"/>
        <item t="sum"/>
      </items>
    </pivotField>
    <pivotField compact="0" showAll="0"/>
    <pivotField compact="0" showAll="0" defaultSubtotal="0">
      <items count="11">
        <item x="7"/>
        <item x="3"/>
        <item x="4"/>
        <item x="0"/>
        <item x="1"/>
        <item x="6"/>
        <item x="5"/>
        <item x="8"/>
        <item x="9"/>
        <item x="10"/>
        <item x="2"/>
      </items>
    </pivotField>
    <pivotField compact="0" showAll="0" defaultSubtotal="0"/>
    <pivotField compact="0" subtotalTop="0" defaultSubtotal="0">
      <items count="3">
        <item x="0"/>
        <item x="1"/>
        <item x="2"/>
      </items>
    </pivotField>
  </pivotFields>
  <rowFields count="1">
    <field x="9"/>
  </rowFields>
  <rowItems count="15">
    <i>
      <x/>
    </i>
    <i>
      <x v="1"/>
    </i>
    <i>
      <x v="2"/>
    </i>
    <i>
      <x v="3"/>
    </i>
    <i>
      <x v="4"/>
    </i>
    <i>
      <x v="5"/>
    </i>
    <i>
      <x v="6"/>
    </i>
    <i>
      <x v="7"/>
    </i>
    <i>
      <x v="8"/>
    </i>
    <i>
      <x v="9"/>
    </i>
    <i>
      <x v="10"/>
    </i>
    <i>
      <x v="11"/>
    </i>
    <i>
      <x v="12"/>
    </i>
    <i>
      <x v="13"/>
    </i>
    <i t="grand">
      <x/>
    </i>
  </rowItems>
  <colFields count="1">
    <field x="1"/>
  </colFields>
  <colItems count="15">
    <i>
      <x/>
    </i>
    <i>
      <x v="1"/>
    </i>
    <i>
      <x v="2"/>
    </i>
    <i>
      <x v="3"/>
    </i>
    <i>
      <x v="4"/>
    </i>
    <i>
      <x v="5"/>
    </i>
    <i>
      <x v="6"/>
    </i>
    <i>
      <x v="7"/>
    </i>
    <i>
      <x v="8"/>
    </i>
    <i>
      <x v="9"/>
    </i>
    <i>
      <x v="10"/>
    </i>
    <i>
      <x v="11"/>
    </i>
    <i>
      <x v="12"/>
    </i>
    <i>
      <x v="13"/>
    </i>
    <i t="grand">
      <x/>
    </i>
  </colItems>
  <dataFields count="1">
    <dataField name="Sum of Sales" fld="5" baseField="10" baseItem="14" numFmtId="167"/>
  </dataFields>
  <pivotTableStyleInfo name="PivotStyleLight16" showRowHeaders="1" showColHeaders="1" showRowStripes="0" showColStripes="0" showLastColumn="1"/>
  <filters count="1">
    <filter fld="1" type="dateBetween" evalOrder="-1" id="34" name="Order Date">
      <autoFilter ref="A1">
        <filterColumn colId="0">
          <customFilters and="1">
            <customFilter operator="greaterThanOrEqual" val="43831"/>
            <customFilter operator="lessThanOrEqual" val="440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928B417-FFCF-4BB2-BA7E-E2D4395DA57F}" name="PivotTable6" cacheId="4" applyNumberFormats="0" applyBorderFormats="0" applyFontFormats="0" applyPatternFormats="0" applyAlignmentFormats="0" applyWidthHeightFormats="1" dataCaption="Values" updatedVersion="8" minRefreshableVersion="5" itemPrintTitles="1" createdVersion="8" indent="0" compact="0" outline="1" outlineData="1" compactData="0" multipleFieldFilters="0">
  <location ref="B3:K98" firstHeaderRow="1" firstDataRow="2" firstDataCol="3"/>
  <pivotFields count="14">
    <pivotField compact="0" showAll="0" defaultSubtotal="0"/>
    <pivotField name="Order Date" axis="axisCol" compact="0" numFmtId="14" showAll="0" defaultSubtotal="0">
      <items count="14">
        <item x="0"/>
        <item x="1"/>
        <item x="2"/>
        <item x="3"/>
        <item x="4"/>
        <item x="5"/>
        <item x="6"/>
        <item x="7"/>
        <item x="8"/>
        <item x="9"/>
        <item x="10"/>
        <item x="11"/>
        <item x="12"/>
        <item x="13"/>
      </items>
    </pivotField>
    <pivotField compact="0" showAll="0" defaultSubtotal="0">
      <items count="8">
        <item x="4"/>
        <item x="1"/>
        <item x="5"/>
        <item x="7"/>
        <item x="0"/>
        <item x="2"/>
        <item x="3"/>
        <item x="6"/>
      </items>
    </pivotField>
    <pivotField axis="axisRow" compact="0" showAll="0" defaultSubtotal="0">
      <items count="14">
        <item x="2"/>
        <item x="10"/>
        <item x="4"/>
        <item x="1"/>
        <item x="5"/>
        <item x="8"/>
        <item x="3"/>
        <item x="7"/>
        <item x="9"/>
        <item x="6"/>
        <item x="0"/>
        <item x="12"/>
        <item x="13"/>
        <item x="11"/>
      </items>
    </pivotField>
    <pivotField compact="0" showAll="0"/>
    <pivotField dataField="1" compact="0" numFmtId="166" showAll="0" defaultSubtotal="0"/>
    <pivotField compact="0" showAll="0" defaultSubtotal="0"/>
    <pivotField compact="0" showAll="0" defaultSubtotal="0"/>
    <pivotField compact="0" showAll="0" defaultSubtotal="0"/>
    <pivotField axis="axisRow" compact="0" showAll="0" sumSubtotal="1" countASubtotal="1">
      <items count="16">
        <item x="5"/>
        <item x="1"/>
        <item x="4"/>
        <item x="9"/>
        <item x="7"/>
        <item x="3"/>
        <item x="11"/>
        <item x="0"/>
        <item x="10"/>
        <item x="2"/>
        <item x="12"/>
        <item x="13"/>
        <item x="8"/>
        <item x="6"/>
        <item t="countA"/>
        <item t="sum"/>
      </items>
    </pivotField>
    <pivotField compact="0" showAll="0"/>
    <pivotField axis="axisRow" compact="0" showAll="0" defaultSubtotal="0">
      <items count="11">
        <item x="7"/>
        <item x="3"/>
        <item x="4"/>
        <item x="0"/>
        <item x="1"/>
        <item x="6"/>
        <item x="5"/>
        <item x="8"/>
        <item x="9"/>
        <item x="10"/>
        <item x="2"/>
      </items>
    </pivotField>
    <pivotField compact="0" showAll="0" defaultSubtotal="0"/>
    <pivotField compact="0" subtotalTop="0" showAll="0" defaultSubtotal="0">
      <items count="3">
        <item x="0"/>
        <item x="1"/>
        <item x="2"/>
      </items>
    </pivotField>
  </pivotFields>
  <rowFields count="3">
    <field x="11"/>
    <field x="3"/>
    <field x="9"/>
  </rowFields>
  <rowItems count="94">
    <i>
      <x/>
    </i>
    <i r="1">
      <x v="8"/>
    </i>
    <i r="2">
      <x v="5"/>
    </i>
    <i r="2">
      <x v="12"/>
    </i>
    <i r="2">
      <x v="13"/>
    </i>
    <i>
      <x v="1"/>
    </i>
    <i r="1">
      <x v="6"/>
    </i>
    <i r="2">
      <x v="1"/>
    </i>
    <i r="2">
      <x v="2"/>
    </i>
    <i r="2">
      <x v="3"/>
    </i>
    <i>
      <x v="2"/>
    </i>
    <i r="1">
      <x v="2"/>
    </i>
    <i r="2">
      <x v="4"/>
    </i>
    <i r="2">
      <x v="9"/>
    </i>
    <i r="2">
      <x v="10"/>
    </i>
    <i r="2">
      <x v="13"/>
    </i>
    <i r="1">
      <x v="12"/>
    </i>
    <i r="2">
      <x v="12"/>
    </i>
    <i>
      <x v="3"/>
    </i>
    <i r="1">
      <x v="4"/>
    </i>
    <i r="2">
      <x/>
    </i>
    <i r="2">
      <x v="5"/>
    </i>
    <i r="1">
      <x v="10"/>
    </i>
    <i r="2">
      <x/>
    </i>
    <i r="2">
      <x v="1"/>
    </i>
    <i r="2">
      <x v="5"/>
    </i>
    <i r="2">
      <x v="7"/>
    </i>
    <i r="2">
      <x v="9"/>
    </i>
    <i>
      <x v="4"/>
    </i>
    <i r="1">
      <x v="3"/>
    </i>
    <i r="2">
      <x v="1"/>
    </i>
    <i r="2">
      <x v="7"/>
    </i>
    <i r="1">
      <x v="9"/>
    </i>
    <i r="2">
      <x v="1"/>
    </i>
    <i>
      <x v="5"/>
    </i>
    <i r="1">
      <x v="5"/>
    </i>
    <i r="2">
      <x/>
    </i>
    <i r="2">
      <x v="7"/>
    </i>
    <i r="2">
      <x v="8"/>
    </i>
    <i r="2">
      <x v="9"/>
    </i>
    <i>
      <x v="6"/>
    </i>
    <i r="1">
      <x v="7"/>
    </i>
    <i r="2">
      <x/>
    </i>
    <i r="2">
      <x v="2"/>
    </i>
    <i r="2">
      <x v="6"/>
    </i>
    <i r="2">
      <x v="12"/>
    </i>
    <i>
      <x v="7"/>
    </i>
    <i r="1">
      <x v="1"/>
    </i>
    <i r="2">
      <x v="1"/>
    </i>
    <i r="2">
      <x v="4"/>
    </i>
    <i r="2">
      <x v="13"/>
    </i>
    <i>
      <x v="8"/>
    </i>
    <i r="1">
      <x v="13"/>
    </i>
    <i r="2">
      <x v="6"/>
    </i>
    <i r="2">
      <x v="11"/>
    </i>
    <i r="2">
      <x v="13"/>
    </i>
    <i>
      <x v="9"/>
    </i>
    <i r="1">
      <x v="11"/>
    </i>
    <i r="2">
      <x v="4"/>
    </i>
    <i>
      <x v="10"/>
    </i>
    <i r="1">
      <x/>
    </i>
    <i r="2">
      <x v="1"/>
    </i>
    <i r="2">
      <x v="2"/>
    </i>
    <i r="2">
      <x v="7"/>
    </i>
    <i r="2">
      <x v="12"/>
    </i>
    <i t="sum">
      <x v="1048832"/>
      <x v="1048832"/>
      <x/>
    </i>
    <i t="countA" r="2">
      <x/>
    </i>
    <i t="sum" r="2">
      <x v="1"/>
    </i>
    <i t="countA" r="2">
      <x v="1"/>
    </i>
    <i t="sum" r="2">
      <x v="2"/>
    </i>
    <i t="countA" r="2">
      <x v="2"/>
    </i>
    <i t="sum" r="2">
      <x v="3"/>
    </i>
    <i t="countA" r="2">
      <x v="3"/>
    </i>
    <i t="sum" r="2">
      <x v="4"/>
    </i>
    <i t="countA" r="2">
      <x v="4"/>
    </i>
    <i t="sum" r="2">
      <x v="5"/>
    </i>
    <i t="countA" r="2">
      <x v="5"/>
    </i>
    <i t="sum" r="2">
      <x v="6"/>
    </i>
    <i t="countA" r="2">
      <x v="6"/>
    </i>
    <i t="sum" r="2">
      <x v="7"/>
    </i>
    <i t="countA" r="2">
      <x v="7"/>
    </i>
    <i t="sum" r="2">
      <x v="8"/>
    </i>
    <i t="countA" r="2">
      <x v="8"/>
    </i>
    <i t="sum" r="2">
      <x v="9"/>
    </i>
    <i t="countA" r="2">
      <x v="9"/>
    </i>
    <i t="sum" r="2">
      <x v="10"/>
    </i>
    <i t="countA" r="2">
      <x v="10"/>
    </i>
    <i t="sum" r="2">
      <x v="11"/>
    </i>
    <i t="countA" r="2">
      <x v="11"/>
    </i>
    <i t="sum" r="2">
      <x v="12"/>
    </i>
    <i t="countA" r="2">
      <x v="12"/>
    </i>
    <i t="sum" r="2">
      <x v="13"/>
    </i>
    <i t="countA" r="2">
      <x v="13"/>
    </i>
    <i t="grand">
      <x/>
    </i>
  </rowItems>
  <colFields count="1">
    <field x="1"/>
  </colFields>
  <colItems count="7">
    <i>
      <x v="1"/>
    </i>
    <i>
      <x v="2"/>
    </i>
    <i>
      <x v="3"/>
    </i>
    <i>
      <x v="4"/>
    </i>
    <i>
      <x v="5"/>
    </i>
    <i>
      <x v="6"/>
    </i>
    <i t="grand">
      <x/>
    </i>
  </colItems>
  <dataFields count="1">
    <dataField name="Sum of Sales" fld="5" baseField="10" baseItem="14" numFmtId="167"/>
  </dataFields>
  <formats count="10">
    <format dxfId="48">
      <pivotArea type="all" dataOnly="0" outline="0" fieldPosition="0"/>
    </format>
    <format dxfId="47">
      <pivotArea outline="0" collapsedLevelsAreSubtotals="1" fieldPosition="0"/>
    </format>
    <format dxfId="46">
      <pivotArea type="origin" dataOnly="0" labelOnly="1" outline="0" fieldPosition="0"/>
    </format>
    <format dxfId="45">
      <pivotArea field="1" type="button" dataOnly="0" labelOnly="1" outline="0" axis="axisCol" fieldPosition="0"/>
    </format>
    <format dxfId="44">
      <pivotArea type="topRight" dataOnly="0" labelOnly="1" outline="0" fieldPosition="0"/>
    </format>
    <format dxfId="43">
      <pivotArea field="9" type="button" dataOnly="0" labelOnly="1" outline="0" axis="axisRow" fieldPosition="2"/>
    </format>
    <format dxfId="42">
      <pivotArea dataOnly="0" labelOnly="1" outline="0" fieldPosition="0">
        <references count="1">
          <reference field="9" count="0"/>
        </references>
      </pivotArea>
    </format>
    <format dxfId="41">
      <pivotArea dataOnly="0" labelOnly="1" grandRow="1" outline="0" fieldPosition="0"/>
    </format>
    <format dxfId="40">
      <pivotArea dataOnly="0" labelOnly="1" outline="0" fieldPosition="0">
        <references count="1">
          <reference field="1" count="0"/>
        </references>
      </pivotArea>
    </format>
    <format dxfId="39">
      <pivotArea dataOnly="0" labelOnly="1" grandCol="1" outline="0" fieldPosition="0"/>
    </format>
  </formats>
  <pivotTableStyleInfo name="PivotStyleMedium9" showRowHeaders="1" showColHeaders="1" showRowStripes="0" showColStripes="0" showLastColumn="1"/>
  <filters count="1">
    <filter fld="1" type="dateBetween" evalOrder="-1" id="100" name="Order Date">
      <autoFilter ref="A1">
        <filterColumn colId="0">
          <customFilters and="1">
            <customFilter operator="greaterThanOrEqual" val="43831"/>
            <customFilter operator="lessThanOrEqual" val="440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B8DB630-89C5-436D-8951-378B9A556661}" name="PivotTable1"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olHeaderCaption="Store Location">
  <location ref="C13:I22" firstHeaderRow="1" firstDataRow="3" firstDataCol="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numFmtId="165" showAll="0"/>
  </pivotFields>
  <rowFields count="1">
    <field x="1"/>
  </rowFields>
  <rowItems count="7">
    <i>
      <x/>
    </i>
    <i>
      <x v="1"/>
    </i>
    <i>
      <x v="2"/>
    </i>
    <i>
      <x v="3"/>
    </i>
    <i>
      <x v="4"/>
    </i>
    <i>
      <x v="5"/>
    </i>
    <i>
      <x v="6"/>
    </i>
  </rowItems>
  <colFields count="2">
    <field x="0"/>
    <field x="-2"/>
  </colFields>
  <colItems count="6">
    <i>
      <x/>
      <x/>
    </i>
    <i r="1" i="1">
      <x v="1"/>
    </i>
    <i>
      <x v="1"/>
      <x/>
    </i>
    <i r="1" i="1">
      <x v="1"/>
    </i>
    <i>
      <x v="2"/>
      <x/>
    </i>
    <i r="1" i="1">
      <x v="1"/>
    </i>
  </colItems>
  <dataFields count="2">
    <dataField name="Items2" fld="3" baseField="1" baseItem="1"/>
    <dataField name="..." fld="3" baseField="1" baseItem="1"/>
  </dataFields>
  <conditionalFormats count="1">
    <conditionalFormat scope="field" priority="12">
      <pivotAreas count="1">
        <pivotArea outline="0" collapsedLevelsAreSubtotals="1" fieldPosition="0">
          <references count="3">
            <reference field="4294967294" count="1" selected="0">
              <x v="1"/>
            </reference>
            <reference field="0" count="0" selected="0"/>
            <reference field="1" count="0" selected="0"/>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B2F141C-9F58-48DD-ADA5-D1D7C4CA8F79}" name="PivotTable4"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olHeaderCaption="Store Location">
  <location ref="X13:AD38" firstHeaderRow="1" firstDataRow="2" firstDataCol="1"/>
  <pivotFields count="6">
    <pivotField axis="axisRow"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Col" numFmtId="165" showAll="0">
      <items count="7">
        <item x="0"/>
        <item x="1"/>
        <item x="2"/>
        <item x="3"/>
        <item x="4"/>
        <item x="5"/>
        <item t="default"/>
      </items>
    </pivotField>
  </pivotFields>
  <rowFields count="2">
    <field x="0"/>
    <field x="1"/>
  </rowFields>
  <rowItems count="24">
    <i>
      <x/>
    </i>
    <i r="1">
      <x/>
    </i>
    <i r="1">
      <x v="1"/>
    </i>
    <i r="1">
      <x v="2"/>
    </i>
    <i r="1">
      <x v="3"/>
    </i>
    <i r="1">
      <x v="4"/>
    </i>
    <i r="1">
      <x v="5"/>
    </i>
    <i r="1">
      <x v="6"/>
    </i>
    <i>
      <x v="1"/>
    </i>
    <i r="1">
      <x/>
    </i>
    <i r="1">
      <x v="1"/>
    </i>
    <i r="1">
      <x v="2"/>
    </i>
    <i r="1">
      <x v="3"/>
    </i>
    <i r="1">
      <x v="4"/>
    </i>
    <i r="1">
      <x v="5"/>
    </i>
    <i r="1">
      <x v="6"/>
    </i>
    <i>
      <x v="2"/>
    </i>
    <i r="1">
      <x/>
    </i>
    <i r="1">
      <x v="1"/>
    </i>
    <i r="1">
      <x v="2"/>
    </i>
    <i r="1">
      <x v="3"/>
    </i>
    <i r="1">
      <x v="4"/>
    </i>
    <i r="1">
      <x v="5"/>
    </i>
    <i r="1">
      <x v="6"/>
    </i>
  </rowItems>
  <colFields count="1">
    <field x="5"/>
  </colFields>
  <colItems count="6">
    <i>
      <x/>
    </i>
    <i>
      <x v="1"/>
    </i>
    <i>
      <x v="2"/>
    </i>
    <i>
      <x v="3"/>
    </i>
    <i>
      <x v="4"/>
    </i>
    <i>
      <x v="5"/>
    </i>
  </colItems>
  <dataFields count="1">
    <dataField name="Sales" fld="3" baseField="1" baseItem="0"/>
  </dataFields>
  <formats count="7">
    <format dxfId="33">
      <pivotArea dataOnly="0" labelOnly="1" fieldPosition="0">
        <references count="1">
          <reference field="1" count="0"/>
        </references>
      </pivotArea>
    </format>
    <format dxfId="32">
      <pivotArea collapsedLevelsAreSubtotals="1" fieldPosition="0">
        <references count="1">
          <reference field="1" count="0"/>
        </references>
      </pivotArea>
    </format>
    <format dxfId="31">
      <pivotArea outline="0" collapsedLevelsAreSubtotals="1" fieldPosition="0">
        <references count="2">
          <reference field="4294967294" count="1" selected="0">
            <x v="0"/>
          </reference>
          <reference field="0" count="1" selected="0">
            <x v="2"/>
          </reference>
        </references>
      </pivotArea>
    </format>
    <format dxfId="30">
      <pivotArea outline="0" collapsedLevelsAreSubtotals="1" fieldPosition="0">
        <references count="2">
          <reference field="4294967294" count="1" selected="0">
            <x v="0"/>
          </reference>
          <reference field="0" count="1" selected="0">
            <x v="1"/>
          </reference>
        </references>
      </pivotArea>
    </format>
    <format dxfId="29">
      <pivotArea outline="0" collapsedLevelsAreSubtotals="1" fieldPosition="0">
        <references count="2">
          <reference field="4294967294" count="1" selected="0">
            <x v="0"/>
          </reference>
          <reference field="0" count="1" selected="0">
            <x v="0"/>
          </reference>
        </references>
      </pivotArea>
    </format>
    <format dxfId="28">
      <pivotArea dataOnly="0" labelOnly="1" fieldPosition="0">
        <references count="1">
          <reference field="5" count="1">
            <x v="0"/>
          </reference>
        </references>
      </pivotArea>
    </format>
    <format dxfId="27">
      <pivotArea dataOnly="0" labelOnly="1" fieldPosition="0">
        <references count="1">
          <reference field="5" count="5">
            <x v="1"/>
            <x v="2"/>
            <x v="3"/>
            <x v="4"/>
            <x v="5"/>
          </reference>
        </references>
      </pivotArea>
    </format>
  </formats>
  <conditionalFormats count="1">
    <conditionalFormat scope="field" priority="6">
      <pivotAreas count="1">
        <pivotArea outline="0" collapsedLevelsAreSubtotals="1" fieldPosition="0">
          <references count="3">
            <reference field="4294967294" count="1" selected="0">
              <x v="0"/>
            </reference>
            <reference field="0" count="0" selected="0"/>
            <reference field="1" count="0" selected="0"/>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0CF4256-BCFB-4DB6-99C0-638EEF0B151E}" name="PivotTable2"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olHeaderCaption="Store Location">
  <location ref="N13:Q21" firstHeaderRow="1" firstDataRow="2" firstDataCol="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numFmtId="165" showAll="0"/>
  </pivotFields>
  <rowFields count="1">
    <field x="1"/>
  </rowFields>
  <rowItems count="7">
    <i>
      <x/>
    </i>
    <i>
      <x v="1"/>
    </i>
    <i>
      <x v="2"/>
    </i>
    <i>
      <x v="3"/>
    </i>
    <i>
      <x v="4"/>
    </i>
    <i>
      <x v="5"/>
    </i>
    <i>
      <x v="6"/>
    </i>
  </rowItems>
  <colFields count="1">
    <field x="0"/>
  </colFields>
  <colItems count="3">
    <i>
      <x/>
    </i>
    <i>
      <x v="1"/>
    </i>
    <i>
      <x v="2"/>
    </i>
  </colItems>
  <dataFields count="1">
    <dataField name="Sales" fld="3" baseField="1" baseItem="0"/>
  </dataFields>
  <formats count="5">
    <format dxfId="38">
      <pivotArea dataOnly="0" labelOnly="1" fieldPosition="0">
        <references count="1">
          <reference field="1" count="0"/>
        </references>
      </pivotArea>
    </format>
    <format dxfId="37">
      <pivotArea collapsedLevelsAreSubtotals="1" fieldPosition="0">
        <references count="1">
          <reference field="1" count="0"/>
        </references>
      </pivotArea>
    </format>
    <format dxfId="36">
      <pivotArea outline="0" collapsedLevelsAreSubtotals="1" fieldPosition="0">
        <references count="2">
          <reference field="4294967294" count="1" selected="0">
            <x v="0"/>
          </reference>
          <reference field="0" count="1" selected="0">
            <x v="2"/>
          </reference>
        </references>
      </pivotArea>
    </format>
    <format dxfId="35">
      <pivotArea outline="0" collapsedLevelsAreSubtotals="1" fieldPosition="0">
        <references count="2">
          <reference field="4294967294" count="1" selected="0">
            <x v="0"/>
          </reference>
          <reference field="0" count="1" selected="0">
            <x v="1"/>
          </reference>
        </references>
      </pivotArea>
    </format>
    <format dxfId="34">
      <pivotArea outline="0" collapsedLevelsAreSubtotals="1" fieldPosition="0">
        <references count="2">
          <reference field="4294967294" count="1" selected="0">
            <x v="0"/>
          </reference>
          <reference field="0" count="1" selected="0">
            <x v="0"/>
          </reference>
        </references>
      </pivotArea>
    </format>
  </formats>
  <conditionalFormats count="1">
    <conditionalFormat scope="field" priority="5">
      <pivotAreas count="1">
        <pivotArea outline="0" collapsedLevelsAreSubtotals="1" fieldPosition="0">
          <references count="3">
            <reference field="4294967294" count="1" selected="0">
              <x v="0"/>
            </reference>
            <reference field="0" count="0" selected="0"/>
            <reference field="1" count="0" selected="0"/>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A6B193F-94CC-4D14-B0D6-EFD0D900B403}" name="PivotTable2"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olHeaderCaption="Store Location">
  <location ref="Q22:T30" firstHeaderRow="1" firstDataRow="2" firstDataCol="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numFmtId="165" showAll="0"/>
  </pivotFields>
  <rowFields count="1">
    <field x="1"/>
  </rowFields>
  <rowItems count="7">
    <i>
      <x/>
    </i>
    <i>
      <x v="1"/>
    </i>
    <i>
      <x v="2"/>
    </i>
    <i>
      <x v="3"/>
    </i>
    <i>
      <x v="4"/>
    </i>
    <i>
      <x v="5"/>
    </i>
    <i>
      <x v="6"/>
    </i>
  </rowItems>
  <colFields count="1">
    <field x="0"/>
  </colFields>
  <colItems count="3">
    <i>
      <x/>
    </i>
    <i>
      <x v="1"/>
    </i>
    <i>
      <x v="2"/>
    </i>
  </colItems>
  <dataFields count="1">
    <dataField name="Sales" fld="3" baseField="1" baseItem="0"/>
  </dataFields>
  <formats count="5">
    <format dxfId="5">
      <pivotArea dataOnly="0" labelOnly="1" fieldPosition="0">
        <references count="1">
          <reference field="1" count="0"/>
        </references>
      </pivotArea>
    </format>
    <format dxfId="6">
      <pivotArea collapsedLevelsAreSubtotals="1" fieldPosition="0">
        <references count="1">
          <reference field="1" count="0"/>
        </references>
      </pivotArea>
    </format>
    <format dxfId="7">
      <pivotArea outline="0" collapsedLevelsAreSubtotals="1" fieldPosition="0">
        <references count="2">
          <reference field="4294967294" count="1" selected="0">
            <x v="0"/>
          </reference>
          <reference field="0" count="1" selected="0">
            <x v="2"/>
          </reference>
        </references>
      </pivotArea>
    </format>
    <format dxfId="8">
      <pivotArea outline="0" collapsedLevelsAreSubtotals="1" fieldPosition="0">
        <references count="2">
          <reference field="4294967294" count="1" selected="0">
            <x v="0"/>
          </reference>
          <reference field="0" count="1" selected="0">
            <x v="1"/>
          </reference>
        </references>
      </pivotArea>
    </format>
    <format dxfId="9">
      <pivotArea outline="0" collapsedLevelsAreSubtotals="1" fieldPosition="0">
        <references count="2">
          <reference field="4294967294" count="1" selected="0">
            <x v="0"/>
          </reference>
          <reference field="0"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x14:conditionalFormats count="1">
          <x14:conditionalFormat scope="data" priority="1" id="{C5056402-064B-48F4-81E9-B28ACC1C8F6B}">
            <x14:pivotAreas count="1">
              <pivotArea outline="0" fieldPosition="0">
                <references count="1">
                  <reference field="4294967294" count="1" selected="0">
                    <x v="0"/>
                  </reference>
                </references>
              </pivotArea>
            </x14:pivotAreas>
          </x14:conditionalFormat>
        </x14:conditionalFormats>
      </x14:pivotTableDefinition>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C5375C8-87F1-4000-9A5C-DAF0B08F9C92}" name="PivotTable4"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olHeaderCaption="Store Location">
  <location ref="AE13:AK38" firstHeaderRow="1" firstDataRow="2" firstDataCol="1"/>
  <pivotFields count="6">
    <pivotField axis="axisRow"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Col" numFmtId="165" showAll="0">
      <items count="7">
        <item x="0"/>
        <item x="1"/>
        <item x="2"/>
        <item x="3"/>
        <item x="4"/>
        <item x="5"/>
        <item t="default"/>
      </items>
    </pivotField>
  </pivotFields>
  <rowFields count="2">
    <field x="0"/>
    <field x="1"/>
  </rowFields>
  <rowItems count="24">
    <i>
      <x/>
    </i>
    <i r="1">
      <x/>
    </i>
    <i r="1">
      <x v="1"/>
    </i>
    <i r="1">
      <x v="2"/>
    </i>
    <i r="1">
      <x v="3"/>
    </i>
    <i r="1">
      <x v="4"/>
    </i>
    <i r="1">
      <x v="5"/>
    </i>
    <i r="1">
      <x v="6"/>
    </i>
    <i>
      <x v="1"/>
    </i>
    <i r="1">
      <x/>
    </i>
    <i r="1">
      <x v="1"/>
    </i>
    <i r="1">
      <x v="2"/>
    </i>
    <i r="1">
      <x v="3"/>
    </i>
    <i r="1">
      <x v="4"/>
    </i>
    <i r="1">
      <x v="5"/>
    </i>
    <i r="1">
      <x v="6"/>
    </i>
    <i>
      <x v="2"/>
    </i>
    <i r="1">
      <x/>
    </i>
    <i r="1">
      <x v="1"/>
    </i>
    <i r="1">
      <x v="2"/>
    </i>
    <i r="1">
      <x v="3"/>
    </i>
    <i r="1">
      <x v="4"/>
    </i>
    <i r="1">
      <x v="5"/>
    </i>
    <i r="1">
      <x v="6"/>
    </i>
  </rowItems>
  <colFields count="1">
    <field x="5"/>
  </colFields>
  <colItems count="6">
    <i>
      <x/>
    </i>
    <i>
      <x v="1"/>
    </i>
    <i>
      <x v="2"/>
    </i>
    <i>
      <x v="3"/>
    </i>
    <i>
      <x v="4"/>
    </i>
    <i>
      <x v="5"/>
    </i>
  </colItems>
  <dataFields count="1">
    <dataField name="Sales" fld="3" baseField="1" baseItem="0"/>
  </dataFields>
  <formats count="7">
    <format dxfId="10">
      <pivotArea dataOnly="0" labelOnly="1" fieldPosition="0">
        <references count="1">
          <reference field="1" count="0"/>
        </references>
      </pivotArea>
    </format>
    <format dxfId="11">
      <pivotArea collapsedLevelsAreSubtotals="1" fieldPosition="0">
        <references count="1">
          <reference field="1" count="0"/>
        </references>
      </pivotArea>
    </format>
    <format dxfId="12">
      <pivotArea outline="0" collapsedLevelsAreSubtotals="1" fieldPosition="0">
        <references count="2">
          <reference field="4294967294" count="1" selected="0">
            <x v="0"/>
          </reference>
          <reference field="0" count="1" selected="0">
            <x v="2"/>
          </reference>
        </references>
      </pivotArea>
    </format>
    <format dxfId="13">
      <pivotArea outline="0" collapsedLevelsAreSubtotals="1" fieldPosition="0">
        <references count="2">
          <reference field="4294967294" count="1" selected="0">
            <x v="0"/>
          </reference>
          <reference field="0" count="1" selected="0">
            <x v="1"/>
          </reference>
        </references>
      </pivotArea>
    </format>
    <format dxfId="14">
      <pivotArea outline="0" collapsedLevelsAreSubtotals="1" fieldPosition="0">
        <references count="2">
          <reference field="4294967294" count="1" selected="0">
            <x v="0"/>
          </reference>
          <reference field="0" count="1" selected="0">
            <x v="0"/>
          </reference>
        </references>
      </pivotArea>
    </format>
    <format dxfId="15">
      <pivotArea dataOnly="0" labelOnly="1" fieldPosition="0">
        <references count="1">
          <reference field="5" count="1">
            <x v="0"/>
          </reference>
        </references>
      </pivotArea>
    </format>
    <format dxfId="16">
      <pivotArea dataOnly="0" labelOnly="1" fieldPosition="0">
        <references count="1">
          <reference field="5" count="5">
            <x v="1"/>
            <x v="2"/>
            <x v="3"/>
            <x v="4"/>
            <x v="5"/>
          </reference>
        </references>
      </pivotArea>
    </format>
  </formats>
  <conditionalFormats count="1">
    <conditionalFormat scope="field" priority="3">
      <pivotAreas count="1">
        <pivotArea outline="0" collapsedLevelsAreSubtotals="1" fieldPosition="0">
          <references count="3">
            <reference field="4294967294" count="1" selected="0">
              <x v="0"/>
            </reference>
            <reference field="0" count="0" selected="0"/>
            <reference field="1" count="0" selected="0"/>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AE410F9-9D8B-4FE5-9D8E-441AD051A52F}" name="PivotTable1"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olHeaderCaption="Store Location">
  <location ref="C13:I22" firstHeaderRow="1" firstDataRow="3" firstDataCol="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numFmtId="165" showAll="0"/>
  </pivotFields>
  <rowFields count="1">
    <field x="1"/>
  </rowFields>
  <rowItems count="7">
    <i>
      <x/>
    </i>
    <i>
      <x v="1"/>
    </i>
    <i>
      <x v="2"/>
    </i>
    <i>
      <x v="3"/>
    </i>
    <i>
      <x v="4"/>
    </i>
    <i>
      <x v="5"/>
    </i>
    <i>
      <x v="6"/>
    </i>
  </rowItems>
  <colFields count="2">
    <field x="0"/>
    <field x="-2"/>
  </colFields>
  <colItems count="6">
    <i>
      <x/>
      <x/>
    </i>
    <i r="1" i="1">
      <x v="1"/>
    </i>
    <i>
      <x v="1"/>
      <x/>
    </i>
    <i r="1" i="1">
      <x v="1"/>
    </i>
    <i>
      <x v="2"/>
      <x/>
    </i>
    <i r="1" i="1">
      <x v="1"/>
    </i>
  </colItems>
  <dataFields count="2">
    <dataField name="Items2" fld="3" baseField="1" baseItem="1"/>
    <dataField name="..." fld="3" baseField="1" baseItem="1"/>
  </dataFields>
  <conditionalFormats count="1">
    <conditionalFormat scope="field" priority="4">
      <pivotAreas count="1">
        <pivotArea outline="0" collapsedLevelsAreSubtotals="1" fieldPosition="0">
          <references count="3">
            <reference field="4294967294" count="1" selected="0">
              <x v="1"/>
            </reference>
            <reference field="0" count="0" selected="0"/>
            <reference field="1" count="0" selected="0"/>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4F36D2C-A891-4AB3-8794-D36038BB1937}"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7:H26" firstHeaderRow="1" firstDataRow="2" firstDataCol="1"/>
  <pivotFields count="6">
    <pivotField showAll="0"/>
    <pivotField axis="axisRow" showAll="0">
      <items count="8">
        <item x="0"/>
        <item x="1"/>
        <item x="2"/>
        <item x="3"/>
        <item x="4"/>
        <item x="5"/>
        <item x="6"/>
        <item t="default"/>
      </items>
    </pivotField>
    <pivotField numFmtId="164" showAll="0"/>
    <pivotField showAll="0"/>
    <pivotField dataField="1" numFmtId="164" showAll="0"/>
    <pivotField axis="axisCol"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5"/>
  </colFields>
  <colItems count="7">
    <i>
      <x/>
    </i>
    <i>
      <x v="1"/>
    </i>
    <i>
      <x v="2"/>
    </i>
    <i>
      <x v="3"/>
    </i>
    <i>
      <x v="4"/>
    </i>
    <i>
      <x v="5"/>
    </i>
    <i t="grand">
      <x/>
    </i>
  </colItems>
  <dataFields count="1">
    <dataField name="Sum of Revenue" fld="4" baseField="5" baseItem="104882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C364E34-8392-4FF1-AB63-C9D94AF870A7}"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2:I31" firstHeaderRow="1" firstDataRow="2" firstDataCol="1" rowPageCount="1" colPageCount="1"/>
  <pivotFields count="6">
    <pivotField axis="axisCol" showAll="0">
      <items count="4">
        <item x="0"/>
        <item x="1"/>
        <item x="2"/>
        <item t="default"/>
      </items>
    </pivotField>
    <pivotField axis="axisRow" showAll="0">
      <items count="8">
        <item x="0"/>
        <item x="1"/>
        <item x="2"/>
        <item x="3"/>
        <item x="4"/>
        <item x="5"/>
        <item x="6"/>
        <item t="default"/>
      </items>
    </pivotField>
    <pivotField numFmtId="164" showAll="0"/>
    <pivotField dataField="1" showAll="0"/>
    <pivotField numFmtId="164" showAll="0"/>
    <pivotField axis="axisPage" numFmtId="165" showAll="0">
      <items count="7">
        <item x="0"/>
        <item x="1"/>
        <item x="2"/>
        <item x="3"/>
        <item x="4"/>
        <item x="5"/>
        <item t="default"/>
      </items>
    </pivotField>
  </pivotFields>
  <rowFields count="1">
    <field x="1"/>
  </rowFields>
  <rowItems count="8">
    <i>
      <x/>
    </i>
    <i>
      <x v="1"/>
    </i>
    <i>
      <x v="2"/>
    </i>
    <i>
      <x v="3"/>
    </i>
    <i>
      <x v="4"/>
    </i>
    <i>
      <x v="5"/>
    </i>
    <i>
      <x v="6"/>
    </i>
    <i t="grand">
      <x/>
    </i>
  </rowItems>
  <colFields count="1">
    <field x="0"/>
  </colFields>
  <colItems count="4">
    <i>
      <x/>
    </i>
    <i>
      <x v="1"/>
    </i>
    <i>
      <x v="2"/>
    </i>
    <i t="grand">
      <x/>
    </i>
  </colItems>
  <pageFields count="1">
    <pageField fld="5" hier="-1"/>
  </pageFields>
  <dataFields count="1">
    <dataField name="Number of Items Sold" fld="3" baseField="0" baseItem="0"/>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 xr10:uid="{67D56785-6C5F-4384-A601-0508C932CBA4}" sourceName="Employee">
  <pivotTables>
    <pivotTable tabId="48" name="PivotTable6"/>
  </pivotTables>
  <data>
    <tabular pivotCacheId="633127436">
      <items count="8">
        <i x="4" s="1"/>
        <i x="1" s="1"/>
        <i x="5" s="1"/>
        <i x="7" s="1"/>
        <i x="0" s="1"/>
        <i x="2" s="1"/>
        <i x="3"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Name" xr10:uid="{A78720AA-069C-457A-8252-A4325864A92E}" sourceName="Customer Name">
  <pivotTables>
    <pivotTable tabId="48" name="PivotTable6"/>
  </pivotTables>
  <data>
    <tabular pivotCacheId="633127436">
      <items count="14">
        <i x="2" s="1"/>
        <i x="10" s="1"/>
        <i x="4" s="1"/>
        <i x="1" s="1"/>
        <i x="5" s="1"/>
        <i x="8" s="1"/>
        <i x="3" s="1"/>
        <i x="7" s="1"/>
        <i x="9" s="1"/>
        <i x="6" s="1"/>
        <i x="0" s="1"/>
        <i x="12" s="1"/>
        <i x="13"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_Province" xr10:uid="{426E31E9-7285-438E-B3C8-E8268837647A}" sourceName="State/Province">
  <pivotTables>
    <pivotTable tabId="48" name="PivotTable6"/>
  </pivotTables>
  <data>
    <tabular pivotCacheId="633127436">
      <items count="11">
        <i x="7" s="1"/>
        <i x="3" s="1"/>
        <i x="4" s="1"/>
        <i x="0" s="1"/>
        <i x="1" s="1"/>
        <i x="6" s="1"/>
        <i x="5" s="1"/>
        <i x="8" s="1"/>
        <i x="9" s="1"/>
        <i x="1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1" xr10:uid="{1EB24630-9878-48B7-B0CB-772F2E294EA8}" sourceName="Employee">
  <pivotTables>
    <pivotTable tabId="53" name="PivotTable6"/>
  </pivotTables>
  <data>
    <tabular pivotCacheId="633127436">
      <items count="8">
        <i x="4" s="1"/>
        <i x="1" s="1"/>
        <i x="5" s="1"/>
        <i x="7" s="1"/>
        <i x="0" s="1"/>
        <i x="2" s="1"/>
        <i x="3" s="1"/>
        <i x="6"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_Province1" xr10:uid="{002C7022-BF33-4DC0-9401-A4649B583F30}" sourceName="State/Province">
  <pivotTables>
    <pivotTable tabId="53" name="PivotTable6"/>
  </pivotTables>
  <data>
    <tabular pivotCacheId="633127436">
      <items count="11">
        <i x="7" s="1"/>
        <i x="3" s="1"/>
        <i x="4" s="1"/>
        <i x="0" s="1"/>
        <i x="1" s="1"/>
        <i x="6" s="1"/>
        <i x="5" s="1"/>
        <i x="8" s="1"/>
        <i x="9" s="1"/>
        <i x="10"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Name1" xr10:uid="{AFF09FC7-80FA-4A84-8612-E34C43FE54DD}" sourceName="Customer Name">
  <pivotTables>
    <pivotTable tabId="53" name="PivotTable6"/>
  </pivotTables>
  <data>
    <tabular pivotCacheId="633127436">
      <items count="14">
        <i x="2" s="1"/>
        <i x="10" s="1"/>
        <i x="4" s="1"/>
        <i x="1" s="1"/>
        <i x="5" s="1"/>
        <i x="8" s="1"/>
        <i x="3" s="1"/>
        <i x="7" s="1"/>
        <i x="9" s="1"/>
        <i x="6" s="1"/>
        <i x="0" s="1"/>
        <i x="12" s="1"/>
        <i x="13"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xr10:uid="{6CBC44FD-CFF9-435B-8DCB-C75C74108877}" cache="Slicer_Employee" caption="Employee" columnCount="3" rowHeight="225425"/>
  <slicer name="Customer Name" xr10:uid="{230CF21D-315E-415C-AEB6-D1BCA2112F3B}" cache="Slicer_Customer_Name" caption="Customer Name" style="SlicerStyleLight5" rowHeight="225425"/>
  <slicer name="State/Province" xr10:uid="{CC3F3F1C-83B5-476F-ADCB-91EB63A82204}" cache="Slicer_State_Province" caption="State/Province" columnCount="4"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1" xr10:uid="{4D73F61F-625E-41B1-8B4F-139A45B33652}" cache="Slicer_Employee1" caption="Employee" columnCount="3" style="SlicerStyleDark2" rowHeight="225425"/>
  <slicer name="State/Province 1" xr10:uid="{123540C8-B268-47B0-AF7F-0A461D483FF9}" cache="Slicer_State_Province1" caption="State/Province" columnCount="4" style="SlicerStyleDark3" rowHeight="225425"/>
  <slicer name="Customer Name 1" xr10:uid="{87BB45F6-DC34-4E58-83A8-63104D54A820}" cache="Slicer_Customer_Name1" caption="Customer Name" columnCount="2" style="SlicerStyleLight4"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A189E1-C409-4F28-BCF3-0925675D8168}" name="tBakeryShop" displayName="tBakeryShop" ref="A1:F127" totalsRowShown="0" headerRowDxfId="56" dataDxfId="55" headerRowCellStyle="Normal 2" dataCellStyle="Normal 2">
  <autoFilter ref="A1:F127" xr:uid="{38A189E1-C409-4F28-BCF3-0925675D8168}"/>
  <tableColumns count="6">
    <tableColumn id="1" xr3:uid="{6B4DBA93-64BA-4019-9096-8F48239A51B8}" name="Location" dataDxfId="54" dataCellStyle="Normal 2"/>
    <tableColumn id="2" xr3:uid="{D32E5891-01C3-4D95-9EB1-A43C8EE3900E}" name="Item" dataDxfId="53" dataCellStyle="Normal 2"/>
    <tableColumn id="3" xr3:uid="{5A9C2245-FF9B-4195-832B-D5C341EB0455}" name="Cost per Item" dataDxfId="52" dataCellStyle="Normal 2"/>
    <tableColumn id="4" xr3:uid="{008C6BAD-7E83-491A-8017-0379E821412D}" name="Items Sold" dataDxfId="51" dataCellStyle="Normal 2"/>
    <tableColumn id="5" xr3:uid="{84EC695D-027A-4304-949F-BD3B3FA3D23C}" name="Revenue" dataDxfId="50" dataCellStyle="Normal 2">
      <calculatedColumnFormula>C2*D2</calculatedColumnFormula>
    </tableColumn>
    <tableColumn id="6" xr3:uid="{15319E67-6871-4402-BFAB-E8CF49547D23}" name="Day" dataDxfId="49"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3952BB-389F-44DF-8B70-781F60A64F70}" name="Table2" displayName="Table2" ref="A1:N50" totalsRowShown="0">
  <autoFilter ref="A1:N50" xr:uid="{023952BB-389F-44DF-8B70-781F60A64F70}"/>
  <tableColumns count="14">
    <tableColumn id="1" xr3:uid="{A7E96BA1-1691-419E-8158-B5E763E73C52}" name="Order ID"/>
    <tableColumn id="2" xr3:uid="{8BF402FC-A2C4-4B9E-9F99-CB5BA5F74B1E}" name="Order Date"/>
    <tableColumn id="3" xr3:uid="{F24C04C4-ACF2-4DE7-8400-55672905BFE5}" name="Employee"/>
    <tableColumn id="4" xr3:uid="{E858A28B-4BF1-405B-B662-39794E48E06E}" name="Customer Name"/>
    <tableColumn id="5" xr3:uid="{0FF30CDD-704B-4E9A-91FD-9586B8D58C5F}" name="Product Name"/>
    <tableColumn id="6" xr3:uid="{B2C9FA63-71B2-4390-A9C9-8542347C318F}" name="Sales"/>
    <tableColumn id="7" xr3:uid="{8DAD84C1-0D02-40AA-9F39-8FE4186C412D}" name="Shipped In"/>
    <tableColumn id="8" xr3:uid="{9304AE47-68A2-4030-96A7-8378CE10B119}" name="Employee ID"/>
    <tableColumn id="9" xr3:uid="{E6251751-F586-46B8-9EE3-CF729C33858A}" name="Product ID"/>
    <tableColumn id="10" xr3:uid="{36001E07-B6A6-4CDF-96B2-0D0C8538C201}" name="Customer ID"/>
    <tableColumn id="11" xr3:uid="{139AE1CB-0390-499E-BEBB-4E3B34DB57C4}" name="Category"/>
    <tableColumn id="12" xr3:uid="{E978E9F7-0210-486F-B767-D8B36349CB31}" name="Customer"/>
    <tableColumn id="13" xr3:uid="{BEA7694C-9EFC-4472-A80D-B16C635E3A0D}" name="State/Province"/>
    <tableColumn id="14" xr3:uid="{2CCEF780-81FF-4F49-9E93-B18D71A9F355}" name="Country/Reg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RealtyDatabase" displayName="RealtyDatabase" ref="A1:G877" totalsRowShown="0" headerRowDxfId="26" dataDxfId="25" tableBorderDxfId="24">
  <autoFilter ref="A1:G877" xr:uid="{00000000-0009-0000-0100-000005000000}"/>
  <tableColumns count="7">
    <tableColumn id="1" xr3:uid="{00000000-0010-0000-0000-000001000000}" name="StreetAddress" dataDxfId="23"/>
    <tableColumn id="2" xr3:uid="{00000000-0010-0000-0000-000002000000}" name="City" dataDxfId="22"/>
    <tableColumn id="3" xr3:uid="{00000000-0010-0000-0000-000003000000}" name="State" dataDxfId="21"/>
    <tableColumn id="4" xr3:uid="{00000000-0010-0000-0000-000004000000}" name="Zip" dataDxfId="20"/>
    <tableColumn id="5" xr3:uid="{00000000-0010-0000-0000-000005000000}" name="Bedrooms" dataDxfId="19"/>
    <tableColumn id="6" xr3:uid="{00000000-0010-0000-0000-000006000000}" name="Bathrooms" dataDxfId="18"/>
    <tableColumn id="7" xr3:uid="{00000000-0010-0000-0000-000007000000}" name="Price" dataDxfId="17"/>
  </tableColumns>
  <tableStyleInfo name="TableStyleLight9"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Flow">
  <a:themeElements>
    <a:clrScheme name="Flow">
      <a:dk1>
        <a:sysClr val="windowText" lastClr="000000"/>
      </a:dk1>
      <a:lt1>
        <a:sysClr val="window" lastClr="FFFFFF"/>
      </a:lt1>
      <a:dk2>
        <a:srgbClr val="04617B"/>
      </a:dk2>
      <a:lt2>
        <a:srgbClr val="DBF5F9"/>
      </a:lt2>
      <a:accent1>
        <a:srgbClr val="0F6FC6"/>
      </a:accent1>
      <a:accent2>
        <a:srgbClr val="009DD9"/>
      </a:accent2>
      <a:accent3>
        <a:srgbClr val="0BD0D9"/>
      </a:accent3>
      <a:accent4>
        <a:srgbClr val="10CF9B"/>
      </a:accent4>
      <a:accent5>
        <a:srgbClr val="7CCA62"/>
      </a:accent5>
      <a:accent6>
        <a:srgbClr val="A5C249"/>
      </a:accent6>
      <a:hlink>
        <a:srgbClr val="E2D700"/>
      </a:hlink>
      <a:folHlink>
        <a:srgbClr val="85DFD0"/>
      </a:folHlink>
    </a:clrScheme>
    <a:fontScheme name="Flow">
      <a:majorFont>
        <a:latin typeface="Calibri"/>
        <a:ea typeface=""/>
        <a:cs typeface=""/>
        <a:font script="Jpan" typeface="ＭＳ Ｐゴシック"/>
        <a:font script="Hang" typeface="HY중고딕"/>
        <a:font script="Hans" typeface="隶书"/>
        <a:font script="Hant" typeface="微軟正黑體"/>
        <a:font script="Arab" typeface="Traditional Arabic"/>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Constantia"/>
        <a:ea typeface=""/>
        <a:cs typeface=""/>
        <a:font script="Jpan" typeface="HGP明朝E"/>
        <a:font script="Hang" typeface="HY신명조"/>
        <a:font script="Hans" typeface="宋体"/>
        <a:font script="Hant" typeface="新細明體"/>
        <a:font script="Arab" typeface="Majalla UI"/>
        <a:font script="Hebr" typeface="David"/>
        <a:font script="Thai" typeface="Browall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inorFont>
    </a:fontScheme>
    <a:fmtScheme name="Flow">
      <a:fillStyleLst>
        <a:solidFill>
          <a:schemeClr val="phClr"/>
        </a:solidFill>
        <a:gradFill rotWithShape="1">
          <a:gsLst>
            <a:gs pos="0">
              <a:schemeClr val="phClr">
                <a:tint val="70000"/>
                <a:satMod val="130000"/>
              </a:schemeClr>
            </a:gs>
            <a:gs pos="43000">
              <a:schemeClr val="phClr">
                <a:tint val="44000"/>
                <a:satMod val="165000"/>
              </a:schemeClr>
            </a:gs>
            <a:gs pos="93000">
              <a:schemeClr val="phClr">
                <a:tint val="15000"/>
                <a:satMod val="165000"/>
              </a:schemeClr>
            </a:gs>
            <a:gs pos="100000">
              <a:schemeClr val="phClr">
                <a:tint val="5000"/>
                <a:satMod val="250000"/>
              </a:schemeClr>
            </a:gs>
          </a:gsLst>
          <a:path path="circle">
            <a:fillToRect l="50000" t="130000" r="50000" b="-30000"/>
          </a:path>
        </a:gradFill>
        <a:gradFill rotWithShape="1">
          <a:gsLst>
            <a:gs pos="0">
              <a:schemeClr val="phClr">
                <a:tint val="98000"/>
                <a:shade val="25000"/>
                <a:satMod val="250000"/>
              </a:schemeClr>
            </a:gs>
            <a:gs pos="68000">
              <a:schemeClr val="phClr">
                <a:tint val="86000"/>
                <a:satMod val="115000"/>
              </a:schemeClr>
            </a:gs>
            <a:gs pos="100000">
              <a:schemeClr val="phClr">
                <a:tint val="50000"/>
                <a:satMod val="150000"/>
              </a:schemeClr>
            </a:gs>
          </a:gsLst>
          <a:path path="circle">
            <a:fillToRect l="50000" t="130000" r="50000" b="-30000"/>
          </a:path>
        </a:gradFill>
      </a:fillStyleLst>
      <a:lnStyleLst>
        <a:ln w="9525" cap="flat" cmpd="sng" algn="ctr">
          <a:solidFill>
            <a:schemeClr val="phClr">
              <a:shade val="50000"/>
              <a:satMod val="103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57150" dist="38100" dir="5400000" algn="ctr" rotWithShape="0">
              <a:schemeClr val="phClr">
                <a:shade val="9000"/>
                <a:satMod val="105000"/>
                <a:alpha val="48000"/>
              </a:schemeClr>
            </a:outerShdw>
          </a:effectLst>
        </a:effectStyle>
        <a:effectStyle>
          <a:effectLst>
            <a:outerShdw blurRad="57150" dist="38100" dir="5400000" algn="ctr" rotWithShape="0">
              <a:schemeClr val="phClr">
                <a:shade val="9000"/>
                <a:satMod val="105000"/>
                <a:alpha val="48000"/>
              </a:schemeClr>
            </a:outerShdw>
          </a:effectLst>
        </a:effectStyle>
        <a:effectStyle>
          <a:effectLst>
            <a:outerShdw blurRad="57150" dist="38100" dir="5400000" algn="ctr" rotWithShape="0">
              <a:schemeClr val="phClr">
                <a:shade val="9000"/>
                <a:satMod val="105000"/>
                <a:alpha val="48000"/>
              </a:schemeClr>
            </a:outerShdw>
          </a:effectLst>
          <a:scene3d>
            <a:camera prst="orthographicFront" fov="0">
              <a:rot lat="0" lon="0" rev="0"/>
            </a:camera>
            <a:lightRig rig="glow" dir="tl">
              <a:rot lat="0" lon="0" rev="900000"/>
            </a:lightRig>
          </a:scene3d>
          <a:sp3d prstMaterial="powder">
            <a:bevelT w="25400" h="38100"/>
          </a:sp3d>
        </a:effectStyle>
      </a:effectStyleLst>
      <a:bgFillStyleLst>
        <a:solidFill>
          <a:schemeClr val="phClr"/>
        </a:solidFill>
        <a:gradFill rotWithShape="1">
          <a:gsLst>
            <a:gs pos="0">
              <a:schemeClr val="phClr">
                <a:tint val="80000"/>
                <a:satMod val="400000"/>
              </a:schemeClr>
            </a:gs>
            <a:gs pos="25000">
              <a:schemeClr val="phClr">
                <a:tint val="83000"/>
                <a:satMod val="320000"/>
              </a:schemeClr>
            </a:gs>
            <a:gs pos="100000">
              <a:schemeClr val="phClr">
                <a:shade val="15000"/>
                <a:satMod val="320000"/>
              </a:schemeClr>
            </a:gs>
          </a:gsLst>
          <a:path path="circle">
            <a:fillToRect l="10000" t="110000" r="10000" b="100000"/>
          </a:path>
        </a:gradFill>
        <a:blipFill>
          <a:blip xmlns:r="http://schemas.openxmlformats.org/officeDocument/2006/relationships" r:embed="rId1">
            <a:duotone>
              <a:schemeClr val="phClr">
                <a:shade val="90000"/>
                <a:satMod val="150000"/>
              </a:schemeClr>
              <a:schemeClr val="phClr">
                <a:tint val="88000"/>
                <a:satMod val="150000"/>
              </a:schemeClr>
            </a:duotone>
          </a:blip>
          <a:tile tx="0" ty="0" sx="65000" sy="65000" flip="none" algn="tl"/>
        </a:blip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FFB8C19E-7D44-41BA-8B8C-EADF65484C8C}" sourceName="Order Date">
  <pivotTables>
    <pivotTable tabId="48" name="PivotTable6"/>
  </pivotTables>
  <state minimalRefreshVersion="6" lastRefreshVersion="6" pivotCacheId="633127436" filterType="dateBetween">
    <selection startDate="2020-01-01T00:00:00" endDate="2020-06-30T00:00:00"/>
    <bounds startDate="2020-01-01T00:00:00" endDate="2021-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1" xr10:uid="{677147C9-7779-4BDA-89B2-29CA644165AE}" sourceName="Order Date">
  <pivotTables>
    <pivotTable tabId="53" name="PivotTable6"/>
  </pivotTables>
  <state minimalRefreshVersion="6" lastRefreshVersion="6" pivotCacheId="633127436" filterType="dateBetween">
    <selection startDate="2020-01-01T00:00:00" endDate="2020-06-30T00:00:00"/>
    <bounds startDate="2020-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172BC632-4C25-430A-ADD9-022861D839EE}" cache="NativeTimeline_Order_Date" caption="Order Date" level="2" selectionLevel="1" scrollPosition="2020-01-01T00:00:00" style="TimeSlicerStyleDark3"/>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C00526D8-548A-4DD4-8EFE-EF35E6AB30A1}" cache="NativeTimeline_Order_Date1" caption="Order Date" level="2" selectionLevel="1" scrollPosition="2020-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3.bin"/><Relationship Id="rId1" Type="http://schemas.openxmlformats.org/officeDocument/2006/relationships/pivotTable" Target="../pivotTables/pivotTable1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4.bin"/><Relationship Id="rId1" Type="http://schemas.openxmlformats.org/officeDocument/2006/relationships/pivotTable" Target="../pivotTables/pivotTable12.xml"/><Relationship Id="rId5" Type="http://schemas.microsoft.com/office/2011/relationships/timeline" Target="../timelines/timeline2.xml"/><Relationship Id="rId4" Type="http://schemas.microsoft.com/office/2007/relationships/slicer" Target="../slicers/slicer2.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drawing" Target="../drawings/drawing11.xml"/><Relationship Id="rId4"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5" Type="http://schemas.openxmlformats.org/officeDocument/2006/relationships/drawing" Target="../drawings/drawing12.xml"/><Relationship Id="rId4"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7.bin"/><Relationship Id="rId1" Type="http://schemas.openxmlformats.org/officeDocument/2006/relationships/pivotTable" Target="../pivotTables/pivotTable19.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5C22C-942A-4334-B73F-83FFCA8BA7BA}">
  <sheetPr codeName="Sheet3"/>
  <dimension ref="E2:E7"/>
  <sheetViews>
    <sheetView zoomScale="190" zoomScaleNormal="190" workbookViewId="0">
      <selection activeCell="E2" sqref="E2"/>
    </sheetView>
  </sheetViews>
  <sheetFormatPr defaultRowHeight="12.75"/>
  <cols>
    <col min="4" max="4" width="24" customWidth="1"/>
    <col min="5" max="5" width="21.59765625" customWidth="1"/>
  </cols>
  <sheetData>
    <row r="2" spans="5:5">
      <c r="E2" t="s">
        <v>1420</v>
      </c>
    </row>
    <row r="3" spans="5:5">
      <c r="E3" t="s">
        <v>1414</v>
      </c>
    </row>
    <row r="4" spans="5:5">
      <c r="E4" t="s">
        <v>1415</v>
      </c>
    </row>
    <row r="5" spans="5:5">
      <c r="E5" t="s">
        <v>1416</v>
      </c>
    </row>
    <row r="6" spans="5:5">
      <c r="E6" t="s">
        <v>1417</v>
      </c>
    </row>
    <row r="7" spans="5:5">
      <c r="E7" t="s">
        <v>1418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EBD87-2B12-4FAE-A36D-B35E8D0C8BEC}">
  <sheetPr codeName="Sheet2">
    <tabColor theme="6"/>
  </sheetPr>
  <dimension ref="A1:E21"/>
  <sheetViews>
    <sheetView zoomScale="130" zoomScaleNormal="130" zoomScalePageLayoutView="200" workbookViewId="0">
      <selection activeCell="C15" sqref="C15"/>
    </sheetView>
  </sheetViews>
  <sheetFormatPr defaultColWidth="8.86328125" defaultRowHeight="12.75"/>
  <cols>
    <col min="1" max="1" width="17.1328125" bestFit="1" customWidth="1"/>
    <col min="2" max="2" width="16.265625" bestFit="1" customWidth="1"/>
    <col min="3" max="3" width="9.73046875" bestFit="1" customWidth="1"/>
    <col min="4" max="4" width="7.3984375" bestFit="1" customWidth="1"/>
    <col min="5" max="5" width="11.1328125" bestFit="1" customWidth="1"/>
    <col min="6" max="6" width="15" bestFit="1" customWidth="1"/>
    <col min="7" max="7" width="9.265625" bestFit="1" customWidth="1"/>
    <col min="8" max="8" width="7" bestFit="1" customWidth="1"/>
    <col min="9" max="9" width="10.265625" bestFit="1" customWidth="1"/>
    <col min="10" max="10" width="12.265625" customWidth="1"/>
    <col min="11" max="11" width="11.73046875" customWidth="1"/>
    <col min="12" max="12" width="11.73046875" bestFit="1" customWidth="1"/>
  </cols>
  <sheetData>
    <row r="1" spans="1:5">
      <c r="E1" t="s">
        <v>1276</v>
      </c>
    </row>
    <row r="2" spans="1:5">
      <c r="E2" t="s">
        <v>1252</v>
      </c>
    </row>
    <row r="3" spans="1:5">
      <c r="E3" t="s">
        <v>1253</v>
      </c>
    </row>
    <row r="4" spans="1:5">
      <c r="E4" t="s">
        <v>1254</v>
      </c>
    </row>
    <row r="5" spans="1:5">
      <c r="E5" t="s">
        <v>1274</v>
      </c>
    </row>
    <row r="6" spans="1:5">
      <c r="E6" t="s">
        <v>1255</v>
      </c>
    </row>
    <row r="7" spans="1:5">
      <c r="E7" t="s">
        <v>1284</v>
      </c>
    </row>
    <row r="10" spans="1:5">
      <c r="A10" s="1" t="s">
        <v>4</v>
      </c>
      <c r="B10" t="s">
        <v>1165</v>
      </c>
    </row>
    <row r="12" spans="1:5">
      <c r="A12" s="1" t="s">
        <v>1169</v>
      </c>
      <c r="B12" s="1" t="s">
        <v>1166</v>
      </c>
    </row>
    <row r="13" spans="1:5">
      <c r="A13" s="1" t="s">
        <v>1167</v>
      </c>
      <c r="B13" t="s">
        <v>5</v>
      </c>
      <c r="C13" t="s">
        <v>13</v>
      </c>
      <c r="D13" t="s">
        <v>14</v>
      </c>
      <c r="E13" t="s">
        <v>1168</v>
      </c>
    </row>
    <row r="14" spans="1:5">
      <c r="A14" s="2" t="s">
        <v>6</v>
      </c>
      <c r="B14">
        <v>284</v>
      </c>
      <c r="C14">
        <v>609</v>
      </c>
      <c r="D14">
        <v>299</v>
      </c>
      <c r="E14">
        <v>1192</v>
      </c>
    </row>
    <row r="15" spans="1:5">
      <c r="A15" s="2" t="s">
        <v>7</v>
      </c>
      <c r="B15">
        <v>668</v>
      </c>
      <c r="C15">
        <v>931</v>
      </c>
      <c r="D15">
        <v>620</v>
      </c>
      <c r="E15">
        <v>2219</v>
      </c>
    </row>
    <row r="16" spans="1:5">
      <c r="A16" s="2" t="s">
        <v>8</v>
      </c>
      <c r="B16">
        <v>206</v>
      </c>
      <c r="C16">
        <v>419</v>
      </c>
      <c r="D16">
        <v>207</v>
      </c>
      <c r="E16">
        <v>832</v>
      </c>
    </row>
    <row r="17" spans="1:5">
      <c r="A17" s="2" t="s">
        <v>9</v>
      </c>
      <c r="B17">
        <v>564</v>
      </c>
      <c r="C17">
        <v>883</v>
      </c>
      <c r="D17">
        <v>567</v>
      </c>
      <c r="E17">
        <v>2014</v>
      </c>
    </row>
    <row r="18" spans="1:5">
      <c r="A18" s="2" t="s">
        <v>10</v>
      </c>
      <c r="B18">
        <v>160</v>
      </c>
      <c r="C18">
        <v>470</v>
      </c>
      <c r="D18">
        <v>238</v>
      </c>
      <c r="E18">
        <v>868</v>
      </c>
    </row>
    <row r="19" spans="1:5">
      <c r="A19" s="2" t="s">
        <v>11</v>
      </c>
      <c r="B19">
        <v>58</v>
      </c>
      <c r="C19">
        <v>156</v>
      </c>
      <c r="D19">
        <v>80</v>
      </c>
      <c r="E19">
        <v>294</v>
      </c>
    </row>
    <row r="20" spans="1:5">
      <c r="A20" s="2" t="s">
        <v>12</v>
      </c>
      <c r="B20">
        <v>338</v>
      </c>
      <c r="C20">
        <v>622</v>
      </c>
      <c r="D20">
        <v>384</v>
      </c>
      <c r="E20">
        <v>1344</v>
      </c>
    </row>
    <row r="21" spans="1:5">
      <c r="A21" s="2" t="s">
        <v>1168</v>
      </c>
      <c r="B21">
        <v>2278</v>
      </c>
      <c r="C21">
        <v>4090</v>
      </c>
      <c r="D21">
        <v>2395</v>
      </c>
      <c r="E21">
        <v>8763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DC40-AD7E-40B0-9512-49B3639E0576}">
  <sheetPr codeName="Sheet15">
    <tabColor theme="6"/>
  </sheetPr>
  <dimension ref="A1:E16"/>
  <sheetViews>
    <sheetView zoomScale="130" zoomScaleNormal="130" zoomScalePageLayoutView="200" workbookViewId="0">
      <pane ySplit="4" topLeftCell="A5" activePane="bottomLeft" state="frozen"/>
      <selection pane="bottomLeft" activeCell="C15" sqref="C15"/>
    </sheetView>
  </sheetViews>
  <sheetFormatPr defaultColWidth="8.86328125" defaultRowHeight="12.75"/>
  <cols>
    <col min="1" max="1" width="20" bestFit="1" customWidth="1"/>
    <col min="2" max="2" width="25" customWidth="1"/>
    <col min="3" max="3" width="15.73046875" customWidth="1"/>
    <col min="4" max="4" width="15" customWidth="1"/>
    <col min="5" max="5" width="11.1328125" bestFit="1" customWidth="1"/>
    <col min="6" max="6" width="13.1328125" bestFit="1" customWidth="1"/>
    <col min="7" max="7" width="16.265625" bestFit="1" customWidth="1"/>
    <col min="8" max="8" width="9.73046875" bestFit="1" customWidth="1"/>
    <col min="9" max="9" width="7.3984375" bestFit="1" customWidth="1"/>
    <col min="10" max="10" width="11.1328125" bestFit="1" customWidth="1"/>
    <col min="11" max="11" width="11.73046875" customWidth="1"/>
    <col min="12" max="12" width="11.73046875" bestFit="1" customWidth="1"/>
  </cols>
  <sheetData>
    <row r="1" spans="1:5">
      <c r="C1" t="s">
        <v>1279</v>
      </c>
      <c r="E1" t="s">
        <v>1282</v>
      </c>
    </row>
    <row r="2" spans="1:5">
      <c r="C2" t="s">
        <v>1280</v>
      </c>
      <c r="E2" t="s">
        <v>1266</v>
      </c>
    </row>
    <row r="3" spans="1:5">
      <c r="C3" t="s">
        <v>1304</v>
      </c>
      <c r="E3" t="s">
        <v>1267</v>
      </c>
    </row>
    <row r="6" spans="1:5">
      <c r="A6" s="1" t="s">
        <v>4</v>
      </c>
      <c r="B6" t="s">
        <v>1165</v>
      </c>
    </row>
    <row r="8" spans="1:5">
      <c r="A8" s="1" t="s">
        <v>1169</v>
      </c>
      <c r="B8" s="1" t="s">
        <v>0</v>
      </c>
    </row>
    <row r="9" spans="1:5">
      <c r="A9" s="1" t="s">
        <v>1305</v>
      </c>
      <c r="B9" t="s">
        <v>5</v>
      </c>
      <c r="C9" t="s">
        <v>13</v>
      </c>
      <c r="D9" t="s">
        <v>14</v>
      </c>
      <c r="E9" t="s">
        <v>1168</v>
      </c>
    </row>
    <row r="10" spans="1:5">
      <c r="A10" s="2" t="s">
        <v>6</v>
      </c>
      <c r="B10">
        <v>284</v>
      </c>
      <c r="C10">
        <v>609</v>
      </c>
      <c r="D10">
        <v>299</v>
      </c>
      <c r="E10">
        <v>1192</v>
      </c>
    </row>
    <row r="11" spans="1:5">
      <c r="A11" s="2" t="s">
        <v>7</v>
      </c>
      <c r="B11">
        <v>668</v>
      </c>
      <c r="C11">
        <v>931</v>
      </c>
      <c r="D11">
        <v>620</v>
      </c>
      <c r="E11">
        <v>2219</v>
      </c>
    </row>
    <row r="12" spans="1:5">
      <c r="A12" s="2" t="s">
        <v>8</v>
      </c>
      <c r="B12">
        <v>206</v>
      </c>
      <c r="C12">
        <v>419</v>
      </c>
      <c r="D12">
        <v>207</v>
      </c>
      <c r="E12">
        <v>832</v>
      </c>
    </row>
    <row r="13" spans="1:5">
      <c r="A13" s="2" t="s">
        <v>9</v>
      </c>
      <c r="B13">
        <v>564</v>
      </c>
      <c r="C13">
        <v>883</v>
      </c>
      <c r="D13">
        <v>567</v>
      </c>
      <c r="E13">
        <v>2014</v>
      </c>
    </row>
    <row r="14" spans="1:5">
      <c r="A14" s="2" t="s">
        <v>10</v>
      </c>
      <c r="B14">
        <v>160</v>
      </c>
      <c r="C14">
        <v>470</v>
      </c>
      <c r="D14">
        <v>238</v>
      </c>
      <c r="E14">
        <v>868</v>
      </c>
    </row>
    <row r="15" spans="1:5">
      <c r="A15" s="2" t="s">
        <v>11</v>
      </c>
      <c r="B15">
        <v>58</v>
      </c>
      <c r="C15">
        <v>156</v>
      </c>
      <c r="D15">
        <v>80</v>
      </c>
      <c r="E15">
        <v>294</v>
      </c>
    </row>
    <row r="16" spans="1:5">
      <c r="A16" s="2" t="s">
        <v>1168</v>
      </c>
      <c r="B16">
        <v>1940</v>
      </c>
      <c r="C16">
        <v>3468</v>
      </c>
      <c r="D16">
        <v>2011</v>
      </c>
      <c r="E16">
        <v>7419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9E8C0-A6CD-4B3C-A0BD-3A3BFAB13591}">
  <sheetPr codeName="Sheet16">
    <tabColor theme="6"/>
  </sheetPr>
  <dimension ref="A1:E17"/>
  <sheetViews>
    <sheetView zoomScale="130" zoomScaleNormal="130" zoomScalePageLayoutView="200" workbookViewId="0">
      <pane ySplit="4" topLeftCell="A5" activePane="bottomLeft" state="frozen"/>
      <selection pane="bottomLeft" activeCell="A24" sqref="A24"/>
    </sheetView>
  </sheetViews>
  <sheetFormatPr defaultColWidth="8.86328125" defaultRowHeight="12.75"/>
  <cols>
    <col min="1" max="1" width="17.1328125" bestFit="1" customWidth="1"/>
    <col min="2" max="2" width="24" bestFit="1" customWidth="1"/>
    <col min="3" max="3" width="17.3984375" customWidth="1"/>
    <col min="4" max="4" width="16.73046875" customWidth="1"/>
    <col min="5" max="5" width="11.1328125" bestFit="1" customWidth="1"/>
    <col min="6" max="6" width="13.1328125" bestFit="1" customWidth="1"/>
    <col min="7" max="7" width="16.265625" bestFit="1" customWidth="1"/>
    <col min="8" max="8" width="9.73046875" bestFit="1" customWidth="1"/>
    <col min="9" max="9" width="7.3984375" bestFit="1" customWidth="1"/>
    <col min="10" max="10" width="11.1328125" bestFit="1" customWidth="1"/>
    <col min="11" max="11" width="11.73046875" customWidth="1"/>
    <col min="12" max="12" width="11.73046875" bestFit="1" customWidth="1"/>
  </cols>
  <sheetData>
    <row r="1" spans="1:5">
      <c r="C1" t="s">
        <v>1279</v>
      </c>
      <c r="E1" t="s">
        <v>1282</v>
      </c>
    </row>
    <row r="2" spans="1:5">
      <c r="C2" t="s">
        <v>1280</v>
      </c>
      <c r="E2" t="s">
        <v>1266</v>
      </c>
    </row>
    <row r="3" spans="1:5">
      <c r="C3" t="s">
        <v>1304</v>
      </c>
      <c r="E3" t="s">
        <v>1267</v>
      </c>
    </row>
    <row r="6" spans="1:5">
      <c r="A6" t="s">
        <v>4</v>
      </c>
      <c r="B6" t="s">
        <v>1165</v>
      </c>
    </row>
    <row r="8" spans="1:5">
      <c r="A8" t="s">
        <v>1169</v>
      </c>
      <c r="B8" t="s">
        <v>0</v>
      </c>
    </row>
    <row r="9" spans="1:5">
      <c r="A9" t="s">
        <v>1305</v>
      </c>
      <c r="B9" t="s">
        <v>5</v>
      </c>
      <c r="C9" t="s">
        <v>13</v>
      </c>
      <c r="D9" t="s">
        <v>14</v>
      </c>
      <c r="E9" t="s">
        <v>1168</v>
      </c>
    </row>
    <row r="10" spans="1:5">
      <c r="A10" s="2" t="s">
        <v>6</v>
      </c>
      <c r="B10">
        <v>284</v>
      </c>
      <c r="C10">
        <v>609</v>
      </c>
      <c r="D10">
        <v>299</v>
      </c>
      <c r="E10">
        <v>1192</v>
      </c>
    </row>
    <row r="11" spans="1:5">
      <c r="A11" s="2" t="s">
        <v>7</v>
      </c>
      <c r="B11">
        <v>668</v>
      </c>
      <c r="C11">
        <v>931</v>
      </c>
      <c r="D11">
        <v>620</v>
      </c>
      <c r="E11">
        <v>2219</v>
      </c>
    </row>
    <row r="12" spans="1:5">
      <c r="A12" s="2" t="s">
        <v>8</v>
      </c>
      <c r="B12">
        <v>206</v>
      </c>
      <c r="C12">
        <v>419</v>
      </c>
      <c r="D12">
        <v>207</v>
      </c>
      <c r="E12">
        <v>832</v>
      </c>
    </row>
    <row r="13" spans="1:5">
      <c r="A13" s="2" t="s">
        <v>9</v>
      </c>
      <c r="B13">
        <v>564</v>
      </c>
      <c r="C13">
        <v>883</v>
      </c>
      <c r="D13">
        <v>567</v>
      </c>
      <c r="E13">
        <v>2014</v>
      </c>
    </row>
    <row r="14" spans="1:5">
      <c r="A14" s="2" t="s">
        <v>10</v>
      </c>
      <c r="B14">
        <v>160</v>
      </c>
      <c r="C14">
        <v>470</v>
      </c>
      <c r="D14">
        <v>238</v>
      </c>
      <c r="E14">
        <v>868</v>
      </c>
    </row>
    <row r="15" spans="1:5">
      <c r="A15" s="2" t="s">
        <v>11</v>
      </c>
      <c r="B15">
        <v>58</v>
      </c>
      <c r="C15">
        <v>156</v>
      </c>
      <c r="D15">
        <v>80</v>
      </c>
      <c r="E15">
        <v>294</v>
      </c>
    </row>
    <row r="16" spans="1:5">
      <c r="A16" s="2" t="s">
        <v>12</v>
      </c>
      <c r="B16">
        <v>338</v>
      </c>
      <c r="C16">
        <v>622</v>
      </c>
      <c r="D16">
        <v>384</v>
      </c>
      <c r="E16">
        <v>1344</v>
      </c>
    </row>
    <row r="17" spans="1:5">
      <c r="A17" s="2" t="s">
        <v>1168</v>
      </c>
      <c r="B17">
        <v>2278</v>
      </c>
      <c r="C17">
        <v>4090</v>
      </c>
      <c r="D17">
        <v>2395</v>
      </c>
      <c r="E17">
        <v>8763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9334-E2BB-4F10-86C4-19629DAF6BDB}">
  <sheetPr codeName="Sheet9">
    <tabColor theme="6"/>
  </sheetPr>
  <dimension ref="A1:F20"/>
  <sheetViews>
    <sheetView zoomScale="130" zoomScaleNormal="130" zoomScalePageLayoutView="200" workbookViewId="0">
      <selection activeCell="C15" sqref="C15"/>
    </sheetView>
  </sheetViews>
  <sheetFormatPr defaultColWidth="8.86328125" defaultRowHeight="12.75"/>
  <cols>
    <col min="1" max="1" width="17.1328125" bestFit="1" customWidth="1"/>
    <col min="2" max="2" width="15" bestFit="1" customWidth="1"/>
    <col min="3" max="3" width="9.265625" bestFit="1" customWidth="1"/>
    <col min="4" max="4" width="7" bestFit="1" customWidth="1"/>
    <col min="5" max="5" width="10.265625" bestFit="1" customWidth="1"/>
    <col min="6" max="6" width="14.1328125" bestFit="1" customWidth="1"/>
    <col min="7" max="7" width="15.59765625" bestFit="1" customWidth="1"/>
    <col min="8" max="8" width="18.86328125" bestFit="1" customWidth="1"/>
    <col min="9" max="9" width="20.1328125" bestFit="1" customWidth="1"/>
    <col min="10" max="10" width="12.265625" customWidth="1"/>
    <col min="11" max="11" width="11.73046875" customWidth="1"/>
    <col min="12" max="12" width="11.73046875" bestFit="1" customWidth="1"/>
  </cols>
  <sheetData>
    <row r="1" spans="1:6">
      <c r="F1" t="s">
        <v>1272</v>
      </c>
    </row>
    <row r="2" spans="1:6">
      <c r="F2" t="s">
        <v>1273</v>
      </c>
    </row>
    <row r="3" spans="1:6">
      <c r="F3" t="s">
        <v>1307</v>
      </c>
    </row>
    <row r="9" spans="1:6">
      <c r="A9" s="1" t="s">
        <v>4</v>
      </c>
      <c r="B9" t="s">
        <v>1165</v>
      </c>
    </row>
    <row r="11" spans="1:6">
      <c r="A11" s="1" t="s">
        <v>1306</v>
      </c>
      <c r="B11" s="1" t="s">
        <v>1166</v>
      </c>
    </row>
    <row r="12" spans="1:6">
      <c r="A12" s="1" t="s">
        <v>1167</v>
      </c>
      <c r="B12" t="s">
        <v>5</v>
      </c>
      <c r="C12" t="s">
        <v>13</v>
      </c>
      <c r="D12" t="s">
        <v>14</v>
      </c>
      <c r="E12" t="s">
        <v>1168</v>
      </c>
    </row>
    <row r="13" spans="1:6">
      <c r="A13" s="2" t="s">
        <v>6</v>
      </c>
      <c r="B13">
        <v>284</v>
      </c>
      <c r="C13">
        <v>609</v>
      </c>
      <c r="D13">
        <v>299</v>
      </c>
      <c r="E13">
        <v>1192</v>
      </c>
    </row>
    <row r="14" spans="1:6">
      <c r="A14" s="2" t="s">
        <v>7</v>
      </c>
      <c r="B14">
        <v>668</v>
      </c>
      <c r="C14">
        <v>931</v>
      </c>
      <c r="D14">
        <v>620</v>
      </c>
      <c r="E14">
        <v>2219</v>
      </c>
    </row>
    <row r="15" spans="1:6">
      <c r="A15" s="2" t="s">
        <v>8</v>
      </c>
      <c r="B15">
        <v>206</v>
      </c>
      <c r="C15">
        <v>419</v>
      </c>
      <c r="D15">
        <v>207</v>
      </c>
      <c r="E15">
        <v>832</v>
      </c>
    </row>
    <row r="16" spans="1:6">
      <c r="A16" s="2" t="s">
        <v>9</v>
      </c>
      <c r="B16">
        <v>564</v>
      </c>
      <c r="C16">
        <v>883</v>
      </c>
      <c r="D16">
        <v>567</v>
      </c>
      <c r="E16">
        <v>2014</v>
      </c>
    </row>
    <row r="17" spans="1:5">
      <c r="A17" s="2" t="s">
        <v>10</v>
      </c>
      <c r="B17">
        <v>160</v>
      </c>
      <c r="C17">
        <v>470</v>
      </c>
      <c r="D17">
        <v>238</v>
      </c>
      <c r="E17">
        <v>868</v>
      </c>
    </row>
    <row r="18" spans="1:5">
      <c r="A18" s="2" t="s">
        <v>11</v>
      </c>
      <c r="B18">
        <v>58</v>
      </c>
      <c r="C18">
        <v>156</v>
      </c>
      <c r="D18">
        <v>80</v>
      </c>
      <c r="E18">
        <v>294</v>
      </c>
    </row>
    <row r="19" spans="1:5">
      <c r="A19" s="2" t="s">
        <v>12</v>
      </c>
      <c r="B19">
        <v>338</v>
      </c>
      <c r="C19">
        <v>622</v>
      </c>
      <c r="D19">
        <v>384</v>
      </c>
      <c r="E19">
        <v>1344</v>
      </c>
    </row>
    <row r="20" spans="1:5">
      <c r="A20" s="2" t="s">
        <v>1168</v>
      </c>
      <c r="B20">
        <v>2278</v>
      </c>
      <c r="C20">
        <v>4090</v>
      </c>
      <c r="D20">
        <v>2395</v>
      </c>
      <c r="E20">
        <v>8763</v>
      </c>
    </row>
  </sheetData>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ED878-BE5D-44A3-9F58-9268F33A6849}">
  <sheetPr codeName="Sheet10">
    <tabColor theme="6"/>
  </sheetPr>
  <dimension ref="A1:E56"/>
  <sheetViews>
    <sheetView zoomScale="130" zoomScaleNormal="130" zoomScalePageLayoutView="200" workbookViewId="0">
      <selection activeCell="C51" sqref="C51"/>
    </sheetView>
  </sheetViews>
  <sheetFormatPr defaultColWidth="8.86328125" defaultRowHeight="12.75"/>
  <cols>
    <col min="1" max="1" width="17.1328125" bestFit="1" customWidth="1"/>
    <col min="2" max="2" width="15" bestFit="1" customWidth="1"/>
    <col min="3" max="3" width="9.265625" bestFit="1" customWidth="1"/>
    <col min="4" max="5" width="10.265625" bestFit="1" customWidth="1"/>
    <col min="6" max="6" width="6.59765625" bestFit="1" customWidth="1"/>
    <col min="7" max="7" width="4.1328125" bestFit="1" customWidth="1"/>
    <col min="8" max="8" width="12" bestFit="1" customWidth="1"/>
    <col min="9" max="9" width="10.265625" bestFit="1" customWidth="1"/>
    <col min="10" max="10" width="12.265625" customWidth="1"/>
    <col min="11" max="11" width="11.73046875" customWidth="1"/>
    <col min="12" max="12" width="11.73046875" bestFit="1" customWidth="1"/>
  </cols>
  <sheetData>
    <row r="1" spans="1:5">
      <c r="E1" t="s">
        <v>1264</v>
      </c>
    </row>
    <row r="2" spans="1:5">
      <c r="E2" t="s">
        <v>1265</v>
      </c>
    </row>
    <row r="9" spans="1:5">
      <c r="A9" s="1" t="s">
        <v>4</v>
      </c>
      <c r="B9" t="s">
        <v>1165</v>
      </c>
    </row>
    <row r="11" spans="1:5">
      <c r="A11" s="1" t="s">
        <v>1306</v>
      </c>
      <c r="B11" s="1" t="s">
        <v>1166</v>
      </c>
    </row>
    <row r="12" spans="1:5">
      <c r="A12" s="1" t="s">
        <v>1167</v>
      </c>
      <c r="B12" t="s">
        <v>5</v>
      </c>
      <c r="C12" t="s">
        <v>13</v>
      </c>
      <c r="D12" t="s">
        <v>14</v>
      </c>
      <c r="E12" t="s">
        <v>1168</v>
      </c>
    </row>
    <row r="13" spans="1:5">
      <c r="A13" s="2" t="s">
        <v>6</v>
      </c>
      <c r="B13">
        <v>284</v>
      </c>
      <c r="C13">
        <v>609</v>
      </c>
      <c r="D13">
        <v>299</v>
      </c>
      <c r="E13">
        <v>1192</v>
      </c>
    </row>
    <row r="14" spans="1:5">
      <c r="A14" s="2" t="s">
        <v>7</v>
      </c>
      <c r="B14">
        <v>668</v>
      </c>
      <c r="C14">
        <v>931</v>
      </c>
      <c r="D14">
        <v>620</v>
      </c>
      <c r="E14">
        <v>2219</v>
      </c>
    </row>
    <row r="15" spans="1:5">
      <c r="A15" s="2" t="s">
        <v>8</v>
      </c>
      <c r="B15">
        <v>206</v>
      </c>
      <c r="C15">
        <v>419</v>
      </c>
      <c r="D15">
        <v>207</v>
      </c>
      <c r="E15">
        <v>832</v>
      </c>
    </row>
    <row r="16" spans="1:5">
      <c r="A16" s="2" t="s">
        <v>9</v>
      </c>
      <c r="B16">
        <v>564</v>
      </c>
      <c r="C16">
        <v>883</v>
      </c>
      <c r="D16">
        <v>567</v>
      </c>
      <c r="E16">
        <v>2014</v>
      </c>
    </row>
    <row r="17" spans="1:5">
      <c r="A17" s="2" t="s">
        <v>10</v>
      </c>
      <c r="B17">
        <v>160</v>
      </c>
      <c r="C17">
        <v>470</v>
      </c>
      <c r="D17">
        <v>238</v>
      </c>
      <c r="E17">
        <v>868</v>
      </c>
    </row>
    <row r="18" spans="1:5">
      <c r="A18" s="2" t="s">
        <v>11</v>
      </c>
      <c r="B18">
        <v>58</v>
      </c>
      <c r="C18">
        <v>156</v>
      </c>
      <c r="D18">
        <v>80</v>
      </c>
      <c r="E18">
        <v>294</v>
      </c>
    </row>
    <row r="19" spans="1:5">
      <c r="A19" s="2" t="s">
        <v>12</v>
      </c>
      <c r="B19">
        <v>338</v>
      </c>
      <c r="C19">
        <v>622</v>
      </c>
      <c r="D19">
        <v>384</v>
      </c>
      <c r="E19">
        <v>1344</v>
      </c>
    </row>
    <row r="20" spans="1:5">
      <c r="A20" s="2" t="s">
        <v>1168</v>
      </c>
      <c r="B20">
        <v>2278</v>
      </c>
      <c r="C20">
        <v>4090</v>
      </c>
      <c r="D20">
        <v>2395</v>
      </c>
      <c r="E20">
        <v>8763</v>
      </c>
    </row>
    <row r="45" spans="1:4">
      <c r="A45" s="1" t="s">
        <v>4</v>
      </c>
      <c r="B45" t="s">
        <v>1165</v>
      </c>
    </row>
    <row r="47" spans="1:4">
      <c r="A47" s="1" t="s">
        <v>1306</v>
      </c>
      <c r="B47" s="1" t="s">
        <v>1166</v>
      </c>
    </row>
    <row r="48" spans="1:4">
      <c r="A48" s="1" t="s">
        <v>1167</v>
      </c>
      <c r="B48" t="s">
        <v>5</v>
      </c>
      <c r="C48" t="s">
        <v>13</v>
      </c>
      <c r="D48" t="s">
        <v>1168</v>
      </c>
    </row>
    <row r="49" spans="1:4">
      <c r="A49" s="2" t="s">
        <v>6</v>
      </c>
      <c r="B49">
        <v>25</v>
      </c>
      <c r="C49">
        <v>50</v>
      </c>
      <c r="D49">
        <v>75</v>
      </c>
    </row>
    <row r="50" spans="1:4">
      <c r="A50" s="2" t="s">
        <v>7</v>
      </c>
      <c r="B50">
        <v>88</v>
      </c>
      <c r="C50">
        <v>126</v>
      </c>
      <c r="D50">
        <v>214</v>
      </c>
    </row>
    <row r="51" spans="1:4">
      <c r="A51" s="2" t="s">
        <v>8</v>
      </c>
      <c r="B51">
        <v>5</v>
      </c>
      <c r="C51">
        <v>44</v>
      </c>
      <c r="D51">
        <v>49</v>
      </c>
    </row>
    <row r="52" spans="1:4">
      <c r="A52" s="2" t="s">
        <v>9</v>
      </c>
      <c r="B52">
        <v>52</v>
      </c>
      <c r="C52">
        <v>88</v>
      </c>
      <c r="D52">
        <v>140</v>
      </c>
    </row>
    <row r="53" spans="1:4">
      <c r="A53" s="2" t="s">
        <v>10</v>
      </c>
      <c r="B53">
        <v>28</v>
      </c>
      <c r="C53">
        <v>48</v>
      </c>
      <c r="D53">
        <v>76</v>
      </c>
    </row>
    <row r="54" spans="1:4">
      <c r="A54" s="2" t="s">
        <v>11</v>
      </c>
      <c r="B54">
        <v>5</v>
      </c>
      <c r="C54">
        <v>16</v>
      </c>
      <c r="D54">
        <v>21</v>
      </c>
    </row>
    <row r="55" spans="1:4">
      <c r="A55" s="2" t="s">
        <v>12</v>
      </c>
      <c r="B55">
        <v>23</v>
      </c>
      <c r="C55">
        <v>54</v>
      </c>
      <c r="D55">
        <v>77</v>
      </c>
    </row>
    <row r="56" spans="1:4">
      <c r="A56" s="2" t="s">
        <v>1168</v>
      </c>
      <c r="B56">
        <v>226</v>
      </c>
      <c r="C56">
        <v>426</v>
      </c>
      <c r="D56">
        <v>652</v>
      </c>
    </row>
  </sheetData>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4D76-0E23-4308-A0F9-499EE33D82B0}">
  <sheetPr codeName="Sheet4">
    <tabColor theme="6"/>
  </sheetPr>
  <dimension ref="A1:E12"/>
  <sheetViews>
    <sheetView zoomScale="200" zoomScaleNormal="200" zoomScalePageLayoutView="200" workbookViewId="0">
      <selection activeCell="A8" sqref="A8"/>
    </sheetView>
  </sheetViews>
  <sheetFormatPr defaultColWidth="8.86328125" defaultRowHeight="12.75"/>
  <cols>
    <col min="1" max="1" width="20.19921875" bestFit="1" customWidth="1"/>
    <col min="2" max="2" width="16.33203125" bestFit="1" customWidth="1"/>
    <col min="3" max="3" width="9.796875" bestFit="1" customWidth="1"/>
    <col min="4" max="4" width="7.3984375" bestFit="1" customWidth="1"/>
    <col min="5" max="5" width="11.1328125" bestFit="1" customWidth="1"/>
    <col min="6" max="6" width="12.265625" customWidth="1"/>
    <col min="7" max="7" width="11.73046875" customWidth="1"/>
    <col min="8" max="8" width="11.73046875" bestFit="1" customWidth="1"/>
  </cols>
  <sheetData>
    <row r="1" spans="1:5">
      <c r="A1" s="1" t="s">
        <v>4</v>
      </c>
      <c r="B1" t="s">
        <v>1165</v>
      </c>
    </row>
    <row r="3" spans="1:5">
      <c r="A3" s="1" t="s">
        <v>1169</v>
      </c>
      <c r="B3" s="1" t="s">
        <v>1166</v>
      </c>
    </row>
    <row r="4" spans="1:5">
      <c r="A4" s="1" t="s">
        <v>1167</v>
      </c>
      <c r="B4" t="s">
        <v>5</v>
      </c>
      <c r="C4" t="s">
        <v>13</v>
      </c>
      <c r="D4" t="s">
        <v>14</v>
      </c>
      <c r="E4" t="s">
        <v>1168</v>
      </c>
    </row>
    <row r="5" spans="1:5">
      <c r="A5" s="2" t="s">
        <v>6</v>
      </c>
      <c r="B5">
        <v>284</v>
      </c>
      <c r="C5">
        <v>609</v>
      </c>
      <c r="D5">
        <v>299</v>
      </c>
      <c r="E5">
        <v>1192</v>
      </c>
    </row>
    <row r="6" spans="1:5">
      <c r="A6" s="2" t="s">
        <v>7</v>
      </c>
      <c r="B6">
        <v>668</v>
      </c>
      <c r="C6">
        <v>931</v>
      </c>
      <c r="D6">
        <v>620</v>
      </c>
      <c r="E6">
        <v>2219</v>
      </c>
    </row>
    <row r="7" spans="1:5">
      <c r="A7" s="2" t="s">
        <v>8</v>
      </c>
      <c r="B7">
        <v>206</v>
      </c>
      <c r="C7">
        <v>419</v>
      </c>
      <c r="D7">
        <v>207</v>
      </c>
      <c r="E7">
        <v>832</v>
      </c>
    </row>
    <row r="8" spans="1:5">
      <c r="A8" s="2" t="s">
        <v>9</v>
      </c>
      <c r="B8">
        <v>564</v>
      </c>
      <c r="C8">
        <v>883</v>
      </c>
      <c r="D8">
        <v>567</v>
      </c>
      <c r="E8">
        <v>2014</v>
      </c>
    </row>
    <row r="9" spans="1:5">
      <c r="A9" s="2" t="s">
        <v>10</v>
      </c>
      <c r="B9">
        <v>160</v>
      </c>
      <c r="C9">
        <v>470</v>
      </c>
      <c r="D9">
        <v>238</v>
      </c>
      <c r="E9">
        <v>868</v>
      </c>
    </row>
    <row r="10" spans="1:5">
      <c r="A10" s="2" t="s">
        <v>11</v>
      </c>
      <c r="B10">
        <v>58</v>
      </c>
      <c r="C10">
        <v>156</v>
      </c>
      <c r="D10">
        <v>80</v>
      </c>
      <c r="E10">
        <v>294</v>
      </c>
    </row>
    <row r="11" spans="1:5">
      <c r="A11" s="2" t="s">
        <v>12</v>
      </c>
      <c r="B11">
        <v>338</v>
      </c>
      <c r="C11">
        <v>622</v>
      </c>
      <c r="D11">
        <v>384</v>
      </c>
      <c r="E11">
        <v>1344</v>
      </c>
    </row>
    <row r="12" spans="1:5">
      <c r="A12" s="2" t="s">
        <v>1168</v>
      </c>
      <c r="B12">
        <v>2278</v>
      </c>
      <c r="C12">
        <v>4090</v>
      </c>
      <c r="D12">
        <v>2395</v>
      </c>
      <c r="E12">
        <v>8763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C1EA3-BCFB-43A7-9058-4162DCD4D9ED}">
  <sheetPr codeName="Sheet5">
    <tabColor theme="3"/>
  </sheetPr>
  <dimension ref="A1:F127"/>
  <sheetViews>
    <sheetView workbookViewId="0">
      <selection activeCell="I11" sqref="I11"/>
    </sheetView>
  </sheetViews>
  <sheetFormatPr defaultRowHeight="12.75"/>
  <cols>
    <col min="1" max="1" width="15.1328125" customWidth="1"/>
    <col min="2" max="2" width="20.265625" customWidth="1"/>
    <col min="3" max="3" width="12.3984375" customWidth="1"/>
    <col min="4" max="4" width="13" customWidth="1"/>
    <col min="5" max="5" width="14.73046875" customWidth="1"/>
    <col min="6" max="6" width="21.86328125" bestFit="1" customWidth="1"/>
    <col min="9" max="9" width="23.73046875" bestFit="1" customWidth="1"/>
    <col min="10" max="10" width="16.265625" bestFit="1" customWidth="1"/>
    <col min="11" max="11" width="9.86328125" bestFit="1" customWidth="1"/>
    <col min="12" max="12" width="7.73046875" bestFit="1" customWidth="1"/>
    <col min="13" max="13" width="11.1328125" bestFit="1" customWidth="1"/>
    <col min="14" max="14" width="23.73046875" bestFit="1" customWidth="1"/>
    <col min="15" max="15" width="9.86328125" bestFit="1" customWidth="1"/>
    <col min="16" max="16" width="7.3984375" bestFit="1" customWidth="1"/>
    <col min="17" max="17" width="27.1328125" bestFit="1" customWidth="1"/>
    <col min="18" max="18" width="22" bestFit="1" customWidth="1"/>
    <col min="19" max="19" width="9.86328125" bestFit="1" customWidth="1"/>
    <col min="20" max="20" width="7.73046875" bestFit="1" customWidth="1"/>
    <col min="21" max="21" width="25.3984375" bestFit="1" customWidth="1"/>
    <col min="22" max="22" width="19.1328125" bestFit="1" customWidth="1"/>
    <col min="23" max="23" width="9.86328125" bestFit="1" customWidth="1"/>
    <col min="24" max="24" width="7.3984375" bestFit="1" customWidth="1"/>
    <col min="25" max="25" width="22.59765625" bestFit="1" customWidth="1"/>
    <col min="26" max="26" width="21.3984375" bestFit="1" customWidth="1"/>
    <col min="27" max="27" width="9.86328125" bestFit="1" customWidth="1"/>
    <col min="28" max="28" width="7.3984375" bestFit="1" customWidth="1"/>
    <col min="29" max="29" width="24.86328125" bestFit="1" customWidth="1"/>
    <col min="30" max="30" width="21.1328125" bestFit="1" customWidth="1"/>
    <col min="31" max="31" width="9.86328125" bestFit="1" customWidth="1"/>
    <col min="32" max="32" width="7.3984375" bestFit="1" customWidth="1"/>
    <col min="33" max="33" width="24.59765625" bestFit="1" customWidth="1"/>
    <col min="34" max="34" width="11.1328125" bestFit="1" customWidth="1"/>
  </cols>
  <sheetData>
    <row r="1" spans="1:6" ht="14.25">
      <c r="A1" s="6" t="s">
        <v>0</v>
      </c>
      <c r="B1" s="6" t="s">
        <v>1</v>
      </c>
      <c r="C1" s="6" t="s">
        <v>2</v>
      </c>
      <c r="D1" s="6" t="s">
        <v>3</v>
      </c>
      <c r="E1" s="6" t="s">
        <v>1170</v>
      </c>
      <c r="F1" s="6" t="s">
        <v>4</v>
      </c>
    </row>
    <row r="2" spans="1:6">
      <c r="A2" s="7" t="s">
        <v>5</v>
      </c>
      <c r="B2" s="7" t="s">
        <v>6</v>
      </c>
      <c r="C2" s="8">
        <v>12</v>
      </c>
      <c r="D2" s="7">
        <v>25</v>
      </c>
      <c r="E2" s="8">
        <f>C2*D2</f>
        <v>300</v>
      </c>
      <c r="F2" s="9">
        <v>39938</v>
      </c>
    </row>
    <row r="3" spans="1:6">
      <c r="A3" s="7" t="s">
        <v>5</v>
      </c>
      <c r="B3" s="7" t="s">
        <v>7</v>
      </c>
      <c r="C3" s="8">
        <v>1.5</v>
      </c>
      <c r="D3" s="7">
        <v>88</v>
      </c>
      <c r="E3" s="8">
        <f t="shared" ref="E3:E66" si="0">C3*D3</f>
        <v>132</v>
      </c>
      <c r="F3" s="9">
        <v>39938</v>
      </c>
    </row>
    <row r="4" spans="1:6">
      <c r="A4" s="7" t="s">
        <v>5</v>
      </c>
      <c r="B4" s="7" t="s">
        <v>8</v>
      </c>
      <c r="C4" s="8">
        <v>1.75</v>
      </c>
      <c r="D4" s="7">
        <v>5</v>
      </c>
      <c r="E4" s="8">
        <f t="shared" si="0"/>
        <v>8.75</v>
      </c>
      <c r="F4" s="9">
        <v>39938</v>
      </c>
    </row>
    <row r="5" spans="1:6">
      <c r="A5" s="7" t="s">
        <v>5</v>
      </c>
      <c r="B5" s="7" t="s">
        <v>9</v>
      </c>
      <c r="C5" s="8">
        <v>3</v>
      </c>
      <c r="D5" s="7">
        <v>52</v>
      </c>
      <c r="E5" s="8">
        <f t="shared" si="0"/>
        <v>156</v>
      </c>
      <c r="F5" s="9">
        <v>39938</v>
      </c>
    </row>
    <row r="6" spans="1:6">
      <c r="A6" s="7" t="s">
        <v>5</v>
      </c>
      <c r="B6" s="7" t="s">
        <v>10</v>
      </c>
      <c r="C6" s="8">
        <v>1.75</v>
      </c>
      <c r="D6" s="7">
        <v>28</v>
      </c>
      <c r="E6" s="8">
        <f t="shared" si="0"/>
        <v>49</v>
      </c>
      <c r="F6" s="9">
        <v>39938</v>
      </c>
    </row>
    <row r="7" spans="1:6">
      <c r="A7" s="7" t="s">
        <v>5</v>
      </c>
      <c r="B7" s="7" t="s">
        <v>11</v>
      </c>
      <c r="C7" s="8">
        <v>10</v>
      </c>
      <c r="D7" s="7">
        <v>5</v>
      </c>
      <c r="E7" s="8">
        <f t="shared" si="0"/>
        <v>50</v>
      </c>
      <c r="F7" s="9">
        <v>39938</v>
      </c>
    </row>
    <row r="8" spans="1:6" ht="13.5" customHeight="1">
      <c r="A8" s="7" t="s">
        <v>5</v>
      </c>
      <c r="B8" s="7" t="s">
        <v>12</v>
      </c>
      <c r="C8" s="8">
        <v>2.5</v>
      </c>
      <c r="D8" s="7">
        <v>23</v>
      </c>
      <c r="E8" s="8">
        <f t="shared" si="0"/>
        <v>57.5</v>
      </c>
      <c r="F8" s="9">
        <v>39938</v>
      </c>
    </row>
    <row r="9" spans="1:6">
      <c r="A9" s="7" t="s">
        <v>13</v>
      </c>
      <c r="B9" s="7" t="s">
        <v>6</v>
      </c>
      <c r="C9" s="8">
        <v>12</v>
      </c>
      <c r="D9" s="7">
        <v>50</v>
      </c>
      <c r="E9" s="8">
        <f t="shared" si="0"/>
        <v>600</v>
      </c>
      <c r="F9" s="9">
        <v>39938</v>
      </c>
    </row>
    <row r="10" spans="1:6">
      <c r="A10" s="7" t="s">
        <v>13</v>
      </c>
      <c r="B10" s="7" t="s">
        <v>7</v>
      </c>
      <c r="C10" s="8">
        <v>1.5</v>
      </c>
      <c r="D10" s="7">
        <v>126</v>
      </c>
      <c r="E10" s="8">
        <f t="shared" si="0"/>
        <v>189</v>
      </c>
      <c r="F10" s="9">
        <v>39938</v>
      </c>
    </row>
    <row r="11" spans="1:6">
      <c r="A11" s="7" t="s">
        <v>13</v>
      </c>
      <c r="B11" s="7" t="s">
        <v>8</v>
      </c>
      <c r="C11" s="8">
        <v>1.75</v>
      </c>
      <c r="D11" s="7">
        <v>44</v>
      </c>
      <c r="E11" s="8">
        <f t="shared" si="0"/>
        <v>77</v>
      </c>
      <c r="F11" s="9">
        <v>39938</v>
      </c>
    </row>
    <row r="12" spans="1:6">
      <c r="A12" s="7" t="s">
        <v>13</v>
      </c>
      <c r="B12" s="7" t="s">
        <v>9</v>
      </c>
      <c r="C12" s="8">
        <v>3</v>
      </c>
      <c r="D12" s="7">
        <v>88</v>
      </c>
      <c r="E12" s="8">
        <f t="shared" si="0"/>
        <v>264</v>
      </c>
      <c r="F12" s="9">
        <v>39938</v>
      </c>
    </row>
    <row r="13" spans="1:6">
      <c r="A13" s="7" t="s">
        <v>13</v>
      </c>
      <c r="B13" s="7" t="s">
        <v>10</v>
      </c>
      <c r="C13" s="8">
        <v>1.75</v>
      </c>
      <c r="D13" s="7">
        <v>48</v>
      </c>
      <c r="E13" s="8">
        <f t="shared" si="0"/>
        <v>84</v>
      </c>
      <c r="F13" s="9">
        <v>39938</v>
      </c>
    </row>
    <row r="14" spans="1:6">
      <c r="A14" s="7" t="s">
        <v>13</v>
      </c>
      <c r="B14" s="7" t="s">
        <v>11</v>
      </c>
      <c r="C14" s="8">
        <v>10</v>
      </c>
      <c r="D14" s="7">
        <v>16</v>
      </c>
      <c r="E14" s="8">
        <f t="shared" si="0"/>
        <v>160</v>
      </c>
      <c r="F14" s="9">
        <v>39938</v>
      </c>
    </row>
    <row r="15" spans="1:6">
      <c r="A15" s="7" t="s">
        <v>13</v>
      </c>
      <c r="B15" s="7" t="s">
        <v>12</v>
      </c>
      <c r="C15" s="8">
        <v>2.5</v>
      </c>
      <c r="D15" s="7">
        <v>54</v>
      </c>
      <c r="E15" s="8">
        <f t="shared" si="0"/>
        <v>135</v>
      </c>
      <c r="F15" s="9">
        <v>39938</v>
      </c>
    </row>
    <row r="16" spans="1:6">
      <c r="A16" s="7" t="s">
        <v>14</v>
      </c>
      <c r="B16" s="7" t="s">
        <v>6</v>
      </c>
      <c r="C16" s="8">
        <v>12</v>
      </c>
      <c r="D16" s="7">
        <v>20</v>
      </c>
      <c r="E16" s="8">
        <f t="shared" si="0"/>
        <v>240</v>
      </c>
      <c r="F16" s="9">
        <v>39938</v>
      </c>
    </row>
    <row r="17" spans="1:6">
      <c r="A17" s="7" t="s">
        <v>14</v>
      </c>
      <c r="B17" s="7" t="s">
        <v>7</v>
      </c>
      <c r="C17" s="8">
        <v>1.5</v>
      </c>
      <c r="D17" s="7">
        <v>75</v>
      </c>
      <c r="E17" s="8">
        <f t="shared" si="0"/>
        <v>112.5</v>
      </c>
      <c r="F17" s="9">
        <v>39938</v>
      </c>
    </row>
    <row r="18" spans="1:6">
      <c r="A18" s="7" t="s">
        <v>14</v>
      </c>
      <c r="B18" s="7" t="s">
        <v>8</v>
      </c>
      <c r="C18" s="8">
        <v>1.75</v>
      </c>
      <c r="D18" s="7">
        <v>22</v>
      </c>
      <c r="E18" s="8">
        <f t="shared" si="0"/>
        <v>38.5</v>
      </c>
      <c r="F18" s="9">
        <v>39938</v>
      </c>
    </row>
    <row r="19" spans="1:6">
      <c r="A19" s="7" t="s">
        <v>14</v>
      </c>
      <c r="B19" s="7" t="s">
        <v>9</v>
      </c>
      <c r="C19" s="8">
        <v>3</v>
      </c>
      <c r="D19" s="7">
        <v>30</v>
      </c>
      <c r="E19" s="8">
        <f t="shared" si="0"/>
        <v>90</v>
      </c>
      <c r="F19" s="9">
        <v>39938</v>
      </c>
    </row>
    <row r="20" spans="1:6">
      <c r="A20" s="7" t="s">
        <v>14</v>
      </c>
      <c r="B20" s="7" t="s">
        <v>10</v>
      </c>
      <c r="C20" s="8">
        <v>1.75</v>
      </c>
      <c r="D20" s="7">
        <v>26</v>
      </c>
      <c r="E20" s="8">
        <f t="shared" si="0"/>
        <v>45.5</v>
      </c>
      <c r="F20" s="9">
        <v>39938</v>
      </c>
    </row>
    <row r="21" spans="1:6">
      <c r="A21" s="7" t="s">
        <v>14</v>
      </c>
      <c r="B21" s="7" t="s">
        <v>11</v>
      </c>
      <c r="C21" s="8">
        <v>10</v>
      </c>
      <c r="D21" s="7">
        <v>6</v>
      </c>
      <c r="E21" s="8">
        <f t="shared" si="0"/>
        <v>60</v>
      </c>
      <c r="F21" s="9">
        <v>39938</v>
      </c>
    </row>
    <row r="22" spans="1:6">
      <c r="A22" s="7" t="s">
        <v>14</v>
      </c>
      <c r="B22" s="7" t="s">
        <v>12</v>
      </c>
      <c r="C22" s="8">
        <v>2.5</v>
      </c>
      <c r="D22" s="7">
        <v>26</v>
      </c>
      <c r="E22" s="8">
        <f t="shared" si="0"/>
        <v>65</v>
      </c>
      <c r="F22" s="9">
        <v>39938</v>
      </c>
    </row>
    <row r="23" spans="1:6">
      <c r="A23" s="7" t="s">
        <v>5</v>
      </c>
      <c r="B23" s="7" t="s">
        <v>6</v>
      </c>
      <c r="C23" s="8">
        <v>12</v>
      </c>
      <c r="D23" s="7">
        <v>29</v>
      </c>
      <c r="E23" s="8">
        <f t="shared" si="0"/>
        <v>348</v>
      </c>
      <c r="F23" s="9">
        <v>39939</v>
      </c>
    </row>
    <row r="24" spans="1:6">
      <c r="A24" s="7" t="s">
        <v>5</v>
      </c>
      <c r="B24" s="7" t="s">
        <v>7</v>
      </c>
      <c r="C24" s="8">
        <v>1.5</v>
      </c>
      <c r="D24" s="7">
        <v>94</v>
      </c>
      <c r="E24" s="8">
        <f t="shared" si="0"/>
        <v>141</v>
      </c>
      <c r="F24" s="9">
        <v>39939</v>
      </c>
    </row>
    <row r="25" spans="1:6">
      <c r="A25" s="7" t="s">
        <v>5</v>
      </c>
      <c r="B25" s="7" t="s">
        <v>8</v>
      </c>
      <c r="C25" s="8">
        <v>1.75</v>
      </c>
      <c r="D25" s="7">
        <v>9</v>
      </c>
      <c r="E25" s="8">
        <f t="shared" si="0"/>
        <v>15.75</v>
      </c>
      <c r="F25" s="9">
        <v>39939</v>
      </c>
    </row>
    <row r="26" spans="1:6">
      <c r="A26" s="7" t="s">
        <v>5</v>
      </c>
      <c r="B26" s="7" t="s">
        <v>9</v>
      </c>
      <c r="C26" s="8">
        <v>3</v>
      </c>
      <c r="D26" s="7">
        <v>77</v>
      </c>
      <c r="E26" s="8">
        <f t="shared" si="0"/>
        <v>231</v>
      </c>
      <c r="F26" s="9">
        <v>39939</v>
      </c>
    </row>
    <row r="27" spans="1:6">
      <c r="A27" s="7" t="s">
        <v>5</v>
      </c>
      <c r="B27" s="7" t="s">
        <v>10</v>
      </c>
      <c r="C27" s="8">
        <v>1.75</v>
      </c>
      <c r="D27" s="7">
        <v>19</v>
      </c>
      <c r="E27" s="8">
        <f t="shared" si="0"/>
        <v>33.25</v>
      </c>
      <c r="F27" s="9">
        <v>39939</v>
      </c>
    </row>
    <row r="28" spans="1:6">
      <c r="A28" s="7" t="s">
        <v>5</v>
      </c>
      <c r="B28" s="7" t="s">
        <v>11</v>
      </c>
      <c r="C28" s="8">
        <v>10</v>
      </c>
      <c r="D28" s="7">
        <v>7</v>
      </c>
      <c r="E28" s="8">
        <f t="shared" si="0"/>
        <v>70</v>
      </c>
      <c r="F28" s="9">
        <v>39939</v>
      </c>
    </row>
    <row r="29" spans="1:6">
      <c r="A29" s="7" t="s">
        <v>5</v>
      </c>
      <c r="B29" s="7" t="s">
        <v>12</v>
      </c>
      <c r="C29" s="8">
        <v>2.5</v>
      </c>
      <c r="D29" s="7">
        <v>42</v>
      </c>
      <c r="E29" s="8">
        <f t="shared" si="0"/>
        <v>105</v>
      </c>
      <c r="F29" s="9">
        <v>39939</v>
      </c>
    </row>
    <row r="30" spans="1:6">
      <c r="A30" s="7" t="s">
        <v>13</v>
      </c>
      <c r="B30" s="7" t="s">
        <v>6</v>
      </c>
      <c r="C30" s="8">
        <v>12</v>
      </c>
      <c r="D30" s="7">
        <v>79</v>
      </c>
      <c r="E30" s="8">
        <f t="shared" si="0"/>
        <v>948</v>
      </c>
      <c r="F30" s="9">
        <v>39939</v>
      </c>
    </row>
    <row r="31" spans="1:6">
      <c r="A31" s="7" t="s">
        <v>13</v>
      </c>
      <c r="B31" s="7" t="s">
        <v>7</v>
      </c>
      <c r="C31" s="8">
        <v>1.5</v>
      </c>
      <c r="D31" s="7">
        <v>140</v>
      </c>
      <c r="E31" s="8">
        <f t="shared" si="0"/>
        <v>210</v>
      </c>
      <c r="F31" s="9">
        <v>39939</v>
      </c>
    </row>
    <row r="32" spans="1:6">
      <c r="A32" s="7" t="s">
        <v>13</v>
      </c>
      <c r="B32" s="7" t="s">
        <v>8</v>
      </c>
      <c r="C32" s="8">
        <v>1.75</v>
      </c>
      <c r="D32" s="7">
        <v>62</v>
      </c>
      <c r="E32" s="8">
        <f t="shared" si="0"/>
        <v>108.5</v>
      </c>
      <c r="F32" s="9">
        <v>39939</v>
      </c>
    </row>
    <row r="33" spans="1:6">
      <c r="A33" s="7" t="s">
        <v>13</v>
      </c>
      <c r="B33" s="7" t="s">
        <v>9</v>
      </c>
      <c r="C33" s="8">
        <v>3</v>
      </c>
      <c r="D33" s="7">
        <v>144</v>
      </c>
      <c r="E33" s="8">
        <f t="shared" si="0"/>
        <v>432</v>
      </c>
      <c r="F33" s="9">
        <v>39939</v>
      </c>
    </row>
    <row r="34" spans="1:6">
      <c r="A34" s="7" t="s">
        <v>13</v>
      </c>
      <c r="B34" s="7" t="s">
        <v>10</v>
      </c>
      <c r="C34" s="8">
        <v>1.75</v>
      </c>
      <c r="D34" s="7">
        <v>64</v>
      </c>
      <c r="E34" s="8">
        <f t="shared" si="0"/>
        <v>112</v>
      </c>
      <c r="F34" s="9">
        <v>39939</v>
      </c>
    </row>
    <row r="35" spans="1:6">
      <c r="A35" s="7" t="s">
        <v>13</v>
      </c>
      <c r="B35" s="7" t="s">
        <v>11</v>
      </c>
      <c r="C35" s="8">
        <v>10</v>
      </c>
      <c r="D35" s="7">
        <v>17</v>
      </c>
      <c r="E35" s="8">
        <f t="shared" si="0"/>
        <v>170</v>
      </c>
      <c r="F35" s="9">
        <v>39939</v>
      </c>
    </row>
    <row r="36" spans="1:6">
      <c r="A36" s="7" t="s">
        <v>13</v>
      </c>
      <c r="B36" s="7" t="s">
        <v>12</v>
      </c>
      <c r="C36" s="8">
        <v>2.5</v>
      </c>
      <c r="D36" s="7">
        <v>88</v>
      </c>
      <c r="E36" s="8">
        <f t="shared" si="0"/>
        <v>220</v>
      </c>
      <c r="F36" s="9">
        <v>39939</v>
      </c>
    </row>
    <row r="37" spans="1:6">
      <c r="A37" s="7" t="s">
        <v>14</v>
      </c>
      <c r="B37" s="7" t="s">
        <v>6</v>
      </c>
      <c r="C37" s="8">
        <v>12</v>
      </c>
      <c r="D37" s="7">
        <v>43</v>
      </c>
      <c r="E37" s="8">
        <f t="shared" si="0"/>
        <v>516</v>
      </c>
      <c r="F37" s="9">
        <v>39939</v>
      </c>
    </row>
    <row r="38" spans="1:6">
      <c r="A38" s="7" t="s">
        <v>14</v>
      </c>
      <c r="B38" s="7" t="s">
        <v>7</v>
      </c>
      <c r="C38" s="8">
        <v>1.5</v>
      </c>
      <c r="D38" s="7">
        <v>80</v>
      </c>
      <c r="E38" s="8">
        <f t="shared" si="0"/>
        <v>120</v>
      </c>
      <c r="F38" s="9">
        <v>39939</v>
      </c>
    </row>
    <row r="39" spans="1:6">
      <c r="A39" s="7" t="s">
        <v>14</v>
      </c>
      <c r="B39" s="7" t="s">
        <v>8</v>
      </c>
      <c r="C39" s="8">
        <v>1.75</v>
      </c>
      <c r="D39" s="7">
        <v>30</v>
      </c>
      <c r="E39" s="8">
        <f t="shared" si="0"/>
        <v>52.5</v>
      </c>
      <c r="F39" s="9">
        <v>39939</v>
      </c>
    </row>
    <row r="40" spans="1:6">
      <c r="A40" s="7" t="s">
        <v>14</v>
      </c>
      <c r="B40" s="7" t="s">
        <v>9</v>
      </c>
      <c r="C40" s="8">
        <v>3</v>
      </c>
      <c r="D40" s="7">
        <v>90</v>
      </c>
      <c r="E40" s="8">
        <f t="shared" si="0"/>
        <v>270</v>
      </c>
      <c r="F40" s="9">
        <v>39939</v>
      </c>
    </row>
    <row r="41" spans="1:6">
      <c r="A41" s="7" t="s">
        <v>14</v>
      </c>
      <c r="B41" s="7" t="s">
        <v>10</v>
      </c>
      <c r="C41" s="8">
        <v>1.75</v>
      </c>
      <c r="D41" s="7">
        <v>26</v>
      </c>
      <c r="E41" s="8">
        <f t="shared" si="0"/>
        <v>45.5</v>
      </c>
      <c r="F41" s="9">
        <v>39939</v>
      </c>
    </row>
    <row r="42" spans="1:6">
      <c r="A42" s="7" t="s">
        <v>14</v>
      </c>
      <c r="B42" s="7" t="s">
        <v>11</v>
      </c>
      <c r="C42" s="8">
        <v>10</v>
      </c>
      <c r="D42" s="7">
        <v>10</v>
      </c>
      <c r="E42" s="8">
        <f t="shared" si="0"/>
        <v>100</v>
      </c>
      <c r="F42" s="9">
        <v>39939</v>
      </c>
    </row>
    <row r="43" spans="1:6">
      <c r="A43" s="7" t="s">
        <v>14</v>
      </c>
      <c r="B43" s="7" t="s">
        <v>12</v>
      </c>
      <c r="C43" s="8">
        <v>2.5</v>
      </c>
      <c r="D43" s="7">
        <v>44</v>
      </c>
      <c r="E43" s="8">
        <f t="shared" si="0"/>
        <v>110</v>
      </c>
      <c r="F43" s="9">
        <v>39939</v>
      </c>
    </row>
    <row r="44" spans="1:6">
      <c r="A44" s="7" t="s">
        <v>5</v>
      </c>
      <c r="B44" s="7" t="s">
        <v>6</v>
      </c>
      <c r="C44" s="8">
        <v>12</v>
      </c>
      <c r="D44" s="7">
        <v>40</v>
      </c>
      <c r="E44" s="8">
        <f t="shared" si="0"/>
        <v>480</v>
      </c>
      <c r="F44" s="9">
        <v>39940</v>
      </c>
    </row>
    <row r="45" spans="1:6">
      <c r="A45" s="7" t="s">
        <v>5</v>
      </c>
      <c r="B45" s="7" t="s">
        <v>7</v>
      </c>
      <c r="C45" s="8">
        <v>1.5</v>
      </c>
      <c r="D45" s="7">
        <v>102</v>
      </c>
      <c r="E45" s="8">
        <f t="shared" si="0"/>
        <v>153</v>
      </c>
      <c r="F45" s="9">
        <v>39940</v>
      </c>
    </row>
    <row r="46" spans="1:6">
      <c r="A46" s="7" t="s">
        <v>5</v>
      </c>
      <c r="B46" s="7" t="s">
        <v>8</v>
      </c>
      <c r="C46" s="8">
        <v>1.75</v>
      </c>
      <c r="D46" s="7">
        <v>12</v>
      </c>
      <c r="E46" s="8">
        <f t="shared" si="0"/>
        <v>21</v>
      </c>
      <c r="F46" s="9">
        <v>39940</v>
      </c>
    </row>
    <row r="47" spans="1:6">
      <c r="A47" s="7" t="s">
        <v>5</v>
      </c>
      <c r="B47" s="7" t="s">
        <v>9</v>
      </c>
      <c r="C47" s="8">
        <v>3</v>
      </c>
      <c r="D47" s="7">
        <v>102</v>
      </c>
      <c r="E47" s="8">
        <f t="shared" si="0"/>
        <v>306</v>
      </c>
      <c r="F47" s="9">
        <v>39940</v>
      </c>
    </row>
    <row r="48" spans="1:6">
      <c r="A48" s="7" t="s">
        <v>5</v>
      </c>
      <c r="B48" s="7" t="s">
        <v>10</v>
      </c>
      <c r="C48" s="8">
        <v>1.75</v>
      </c>
      <c r="D48" s="7">
        <v>23</v>
      </c>
      <c r="E48" s="8">
        <f t="shared" si="0"/>
        <v>40.25</v>
      </c>
      <c r="F48" s="9">
        <v>39940</v>
      </c>
    </row>
    <row r="49" spans="1:6">
      <c r="A49" s="7" t="s">
        <v>5</v>
      </c>
      <c r="B49" s="7" t="s">
        <v>11</v>
      </c>
      <c r="C49" s="8">
        <v>10</v>
      </c>
      <c r="D49" s="7">
        <v>7</v>
      </c>
      <c r="E49" s="8">
        <f t="shared" si="0"/>
        <v>70</v>
      </c>
      <c r="F49" s="9">
        <v>39940</v>
      </c>
    </row>
    <row r="50" spans="1:6">
      <c r="A50" s="7" t="s">
        <v>5</v>
      </c>
      <c r="B50" s="7" t="s">
        <v>12</v>
      </c>
      <c r="C50" s="8">
        <v>2.5</v>
      </c>
      <c r="D50" s="7">
        <v>77</v>
      </c>
      <c r="E50" s="8">
        <f t="shared" si="0"/>
        <v>192.5</v>
      </c>
      <c r="F50" s="9">
        <v>39940</v>
      </c>
    </row>
    <row r="51" spans="1:6">
      <c r="A51" s="7" t="s">
        <v>13</v>
      </c>
      <c r="B51" s="7" t="s">
        <v>6</v>
      </c>
      <c r="C51" s="8">
        <v>12</v>
      </c>
      <c r="D51" s="7">
        <v>80</v>
      </c>
      <c r="E51" s="8">
        <f t="shared" si="0"/>
        <v>960</v>
      </c>
      <c r="F51" s="9">
        <v>39940</v>
      </c>
    </row>
    <row r="52" spans="1:6">
      <c r="A52" s="7" t="s">
        <v>13</v>
      </c>
      <c r="B52" s="7" t="s">
        <v>7</v>
      </c>
      <c r="C52" s="8">
        <v>1.5</v>
      </c>
      <c r="D52" s="7">
        <v>158</v>
      </c>
      <c r="E52" s="8">
        <f t="shared" si="0"/>
        <v>237</v>
      </c>
      <c r="F52" s="9">
        <v>39940</v>
      </c>
    </row>
    <row r="53" spans="1:6">
      <c r="A53" s="7" t="s">
        <v>13</v>
      </c>
      <c r="B53" s="7" t="s">
        <v>8</v>
      </c>
      <c r="C53" s="8">
        <v>1.75</v>
      </c>
      <c r="D53" s="7">
        <v>99</v>
      </c>
      <c r="E53" s="8">
        <f t="shared" si="0"/>
        <v>173.25</v>
      </c>
      <c r="F53" s="9">
        <v>39940</v>
      </c>
    </row>
    <row r="54" spans="1:6">
      <c r="A54" s="7" t="s">
        <v>13</v>
      </c>
      <c r="B54" s="7" t="s">
        <v>9</v>
      </c>
      <c r="C54" s="8">
        <v>3</v>
      </c>
      <c r="D54" s="7">
        <v>180</v>
      </c>
      <c r="E54" s="8">
        <f t="shared" si="0"/>
        <v>540</v>
      </c>
      <c r="F54" s="9">
        <v>39940</v>
      </c>
    </row>
    <row r="55" spans="1:6">
      <c r="A55" s="7" t="s">
        <v>13</v>
      </c>
      <c r="B55" s="7" t="s">
        <v>10</v>
      </c>
      <c r="C55" s="8">
        <v>1.75</v>
      </c>
      <c r="D55" s="7">
        <v>72</v>
      </c>
      <c r="E55" s="8">
        <f t="shared" si="0"/>
        <v>126</v>
      </c>
      <c r="F55" s="9">
        <v>39940</v>
      </c>
    </row>
    <row r="56" spans="1:6">
      <c r="A56" s="7" t="s">
        <v>13</v>
      </c>
      <c r="B56" s="7" t="s">
        <v>11</v>
      </c>
      <c r="C56" s="8">
        <v>10</v>
      </c>
      <c r="D56" s="7">
        <v>19</v>
      </c>
      <c r="E56" s="8">
        <f t="shared" si="0"/>
        <v>190</v>
      </c>
      <c r="F56" s="9">
        <v>39940</v>
      </c>
    </row>
    <row r="57" spans="1:6">
      <c r="A57" s="7" t="s">
        <v>13</v>
      </c>
      <c r="B57" s="7" t="s">
        <v>12</v>
      </c>
      <c r="C57" s="8">
        <v>2.5</v>
      </c>
      <c r="D57" s="7">
        <v>112</v>
      </c>
      <c r="E57" s="8">
        <f t="shared" si="0"/>
        <v>280</v>
      </c>
      <c r="F57" s="9">
        <v>39940</v>
      </c>
    </row>
    <row r="58" spans="1:6">
      <c r="A58" s="7" t="s">
        <v>14</v>
      </c>
      <c r="B58" s="7" t="s">
        <v>6</v>
      </c>
      <c r="C58" s="8">
        <v>12</v>
      </c>
      <c r="D58" s="7">
        <v>45</v>
      </c>
      <c r="E58" s="8">
        <f t="shared" si="0"/>
        <v>540</v>
      </c>
      <c r="F58" s="9">
        <v>39940</v>
      </c>
    </row>
    <row r="59" spans="1:6">
      <c r="A59" s="7" t="s">
        <v>14</v>
      </c>
      <c r="B59" s="7" t="s">
        <v>7</v>
      </c>
      <c r="C59" s="8">
        <v>1.5</v>
      </c>
      <c r="D59" s="7">
        <v>122</v>
      </c>
      <c r="E59" s="8">
        <f t="shared" si="0"/>
        <v>183</v>
      </c>
      <c r="F59" s="9">
        <v>39940</v>
      </c>
    </row>
    <row r="60" spans="1:6">
      <c r="A60" s="7" t="s">
        <v>14</v>
      </c>
      <c r="B60" s="7" t="s">
        <v>8</v>
      </c>
      <c r="C60" s="8">
        <v>1.75</v>
      </c>
      <c r="D60" s="7">
        <v>65</v>
      </c>
      <c r="E60" s="8">
        <f t="shared" si="0"/>
        <v>113.75</v>
      </c>
      <c r="F60" s="9">
        <v>39940</v>
      </c>
    </row>
    <row r="61" spans="1:6">
      <c r="A61" s="7" t="s">
        <v>14</v>
      </c>
      <c r="B61" s="7" t="s">
        <v>9</v>
      </c>
      <c r="C61" s="8">
        <v>3</v>
      </c>
      <c r="D61" s="7">
        <v>120</v>
      </c>
      <c r="E61" s="8">
        <f t="shared" si="0"/>
        <v>360</v>
      </c>
      <c r="F61" s="9">
        <v>39940</v>
      </c>
    </row>
    <row r="62" spans="1:6">
      <c r="A62" s="7" t="s">
        <v>14</v>
      </c>
      <c r="B62" s="7" t="s">
        <v>10</v>
      </c>
      <c r="C62" s="8">
        <v>1.75</v>
      </c>
      <c r="D62" s="7">
        <v>30</v>
      </c>
      <c r="E62" s="8">
        <f t="shared" si="0"/>
        <v>52.5</v>
      </c>
      <c r="F62" s="9">
        <v>39940</v>
      </c>
    </row>
    <row r="63" spans="1:6">
      <c r="A63" s="7" t="s">
        <v>14</v>
      </c>
      <c r="B63" s="7" t="s">
        <v>11</v>
      </c>
      <c r="C63" s="8">
        <v>10</v>
      </c>
      <c r="D63" s="7">
        <v>11</v>
      </c>
      <c r="E63" s="8">
        <f t="shared" si="0"/>
        <v>110</v>
      </c>
      <c r="F63" s="9">
        <v>39940</v>
      </c>
    </row>
    <row r="64" spans="1:6">
      <c r="A64" s="7" t="s">
        <v>14</v>
      </c>
      <c r="B64" s="7" t="s">
        <v>12</v>
      </c>
      <c r="C64" s="8">
        <v>2.5</v>
      </c>
      <c r="D64" s="7">
        <v>85</v>
      </c>
      <c r="E64" s="8">
        <f t="shared" si="0"/>
        <v>212.5</v>
      </c>
      <c r="F64" s="9">
        <v>39940</v>
      </c>
    </row>
    <row r="65" spans="1:6">
      <c r="A65" s="7" t="s">
        <v>5</v>
      </c>
      <c r="B65" s="7" t="s">
        <v>6</v>
      </c>
      <c r="C65" s="8">
        <v>12</v>
      </c>
      <c r="D65" s="7">
        <v>55</v>
      </c>
      <c r="E65" s="8">
        <f t="shared" si="0"/>
        <v>660</v>
      </c>
      <c r="F65" s="9">
        <v>39941</v>
      </c>
    </row>
    <row r="66" spans="1:6">
      <c r="A66" s="7" t="s">
        <v>5</v>
      </c>
      <c r="B66" s="7" t="s">
        <v>7</v>
      </c>
      <c r="C66" s="8">
        <v>1.5</v>
      </c>
      <c r="D66" s="7">
        <v>148</v>
      </c>
      <c r="E66" s="8">
        <f t="shared" si="0"/>
        <v>222</v>
      </c>
      <c r="F66" s="9">
        <v>39941</v>
      </c>
    </row>
    <row r="67" spans="1:6">
      <c r="A67" s="7" t="s">
        <v>5</v>
      </c>
      <c r="B67" s="7" t="s">
        <v>8</v>
      </c>
      <c r="C67" s="8">
        <v>1.75</v>
      </c>
      <c r="D67" s="7">
        <v>48</v>
      </c>
      <c r="E67" s="8">
        <f t="shared" ref="E67:E127" si="1">C67*D67</f>
        <v>84</v>
      </c>
      <c r="F67" s="9">
        <v>39941</v>
      </c>
    </row>
    <row r="68" spans="1:6">
      <c r="A68" s="7" t="s">
        <v>5</v>
      </c>
      <c r="B68" s="7" t="s">
        <v>9</v>
      </c>
      <c r="C68" s="8">
        <v>3</v>
      </c>
      <c r="D68" s="7">
        <v>146</v>
      </c>
      <c r="E68" s="8">
        <f t="shared" si="1"/>
        <v>438</v>
      </c>
      <c r="F68" s="9">
        <v>39941</v>
      </c>
    </row>
    <row r="69" spans="1:6">
      <c r="A69" s="7" t="s">
        <v>5</v>
      </c>
      <c r="B69" s="7" t="s">
        <v>10</v>
      </c>
      <c r="C69" s="8">
        <v>1.75</v>
      </c>
      <c r="D69" s="7">
        <v>22</v>
      </c>
      <c r="E69" s="8">
        <f t="shared" si="1"/>
        <v>38.5</v>
      </c>
      <c r="F69" s="9">
        <v>39941</v>
      </c>
    </row>
    <row r="70" spans="1:6">
      <c r="A70" s="7" t="s">
        <v>5</v>
      </c>
      <c r="B70" s="7" t="s">
        <v>11</v>
      </c>
      <c r="C70" s="8">
        <v>10</v>
      </c>
      <c r="D70" s="7">
        <v>11</v>
      </c>
      <c r="E70" s="8">
        <f t="shared" si="1"/>
        <v>110</v>
      </c>
      <c r="F70" s="9">
        <v>39941</v>
      </c>
    </row>
    <row r="71" spans="1:6">
      <c r="A71" s="7" t="s">
        <v>5</v>
      </c>
      <c r="B71" s="7" t="s">
        <v>12</v>
      </c>
      <c r="C71" s="8">
        <v>2.5</v>
      </c>
      <c r="D71" s="7">
        <v>86</v>
      </c>
      <c r="E71" s="8">
        <f t="shared" si="1"/>
        <v>215</v>
      </c>
      <c r="F71" s="9">
        <v>39941</v>
      </c>
    </row>
    <row r="72" spans="1:6">
      <c r="A72" s="7" t="s">
        <v>13</v>
      </c>
      <c r="B72" s="7" t="s">
        <v>6</v>
      </c>
      <c r="C72" s="8">
        <v>12</v>
      </c>
      <c r="D72" s="7">
        <v>120</v>
      </c>
      <c r="E72" s="8">
        <f t="shared" si="1"/>
        <v>1440</v>
      </c>
      <c r="F72" s="9">
        <v>39941</v>
      </c>
    </row>
    <row r="73" spans="1:6">
      <c r="A73" s="7" t="s">
        <v>13</v>
      </c>
      <c r="B73" s="7" t="s">
        <v>7</v>
      </c>
      <c r="C73" s="8">
        <v>1.5</v>
      </c>
      <c r="D73" s="7">
        <v>177</v>
      </c>
      <c r="E73" s="8">
        <f t="shared" si="1"/>
        <v>265.5</v>
      </c>
      <c r="F73" s="9">
        <v>39941</v>
      </c>
    </row>
    <row r="74" spans="1:6">
      <c r="A74" s="7" t="s">
        <v>13</v>
      </c>
      <c r="B74" s="7" t="s">
        <v>8</v>
      </c>
      <c r="C74" s="8">
        <v>1.75</v>
      </c>
      <c r="D74" s="7">
        <v>82</v>
      </c>
      <c r="E74" s="8">
        <f t="shared" si="1"/>
        <v>143.5</v>
      </c>
      <c r="F74" s="9">
        <v>39941</v>
      </c>
    </row>
    <row r="75" spans="1:6">
      <c r="A75" s="7" t="s">
        <v>13</v>
      </c>
      <c r="B75" s="7" t="s">
        <v>9</v>
      </c>
      <c r="C75" s="8">
        <v>3</v>
      </c>
      <c r="D75" s="7">
        <v>196</v>
      </c>
      <c r="E75" s="8">
        <f t="shared" si="1"/>
        <v>588</v>
      </c>
      <c r="F75" s="9">
        <v>39941</v>
      </c>
    </row>
    <row r="76" spans="1:6">
      <c r="A76" s="7" t="s">
        <v>13</v>
      </c>
      <c r="B76" s="7" t="s">
        <v>10</v>
      </c>
      <c r="C76" s="8">
        <v>1.75</v>
      </c>
      <c r="D76" s="7">
        <v>94</v>
      </c>
      <c r="E76" s="8">
        <f t="shared" si="1"/>
        <v>164.5</v>
      </c>
      <c r="F76" s="9">
        <v>39941</v>
      </c>
    </row>
    <row r="77" spans="1:6">
      <c r="A77" s="7" t="s">
        <v>13</v>
      </c>
      <c r="B77" s="7" t="s">
        <v>11</v>
      </c>
      <c r="C77" s="8">
        <v>10</v>
      </c>
      <c r="D77" s="7">
        <v>29</v>
      </c>
      <c r="E77" s="8">
        <f t="shared" si="1"/>
        <v>290</v>
      </c>
      <c r="F77" s="9">
        <v>39941</v>
      </c>
    </row>
    <row r="78" spans="1:6">
      <c r="A78" s="7" t="s">
        <v>13</v>
      </c>
      <c r="B78" s="7" t="s">
        <v>12</v>
      </c>
      <c r="C78" s="8">
        <v>2.5</v>
      </c>
      <c r="D78" s="7">
        <v>144</v>
      </c>
      <c r="E78" s="8">
        <f t="shared" si="1"/>
        <v>360</v>
      </c>
      <c r="F78" s="9">
        <v>39941</v>
      </c>
    </row>
    <row r="79" spans="1:6">
      <c r="A79" s="7" t="s">
        <v>14</v>
      </c>
      <c r="B79" s="7" t="s">
        <v>6</v>
      </c>
      <c r="C79" s="8">
        <v>12</v>
      </c>
      <c r="D79" s="7">
        <v>50</v>
      </c>
      <c r="E79" s="8">
        <f t="shared" si="1"/>
        <v>600</v>
      </c>
      <c r="F79" s="9">
        <v>39941</v>
      </c>
    </row>
    <row r="80" spans="1:6">
      <c r="A80" s="7" t="s">
        <v>14</v>
      </c>
      <c r="B80" s="7" t="s">
        <v>7</v>
      </c>
      <c r="C80" s="8">
        <v>1.5</v>
      </c>
      <c r="D80" s="7">
        <v>135</v>
      </c>
      <c r="E80" s="8">
        <f t="shared" si="1"/>
        <v>202.5</v>
      </c>
      <c r="F80" s="9">
        <v>39941</v>
      </c>
    </row>
    <row r="81" spans="1:6">
      <c r="A81" s="7" t="s">
        <v>14</v>
      </c>
      <c r="B81" s="7" t="s">
        <v>8</v>
      </c>
      <c r="C81" s="8">
        <v>1.75</v>
      </c>
      <c r="D81" s="7">
        <v>40</v>
      </c>
      <c r="E81" s="8">
        <f t="shared" si="1"/>
        <v>70</v>
      </c>
      <c r="F81" s="9">
        <v>39941</v>
      </c>
    </row>
    <row r="82" spans="1:6">
      <c r="A82" s="7" t="s">
        <v>14</v>
      </c>
      <c r="B82" s="7" t="s">
        <v>9</v>
      </c>
      <c r="C82" s="8">
        <v>3</v>
      </c>
      <c r="D82" s="7">
        <v>154</v>
      </c>
      <c r="E82" s="8">
        <f t="shared" si="1"/>
        <v>462</v>
      </c>
      <c r="F82" s="9">
        <v>39941</v>
      </c>
    </row>
    <row r="83" spans="1:6">
      <c r="A83" s="7" t="s">
        <v>14</v>
      </c>
      <c r="B83" s="7" t="s">
        <v>10</v>
      </c>
      <c r="C83" s="8">
        <v>1.75</v>
      </c>
      <c r="D83" s="7">
        <v>62</v>
      </c>
      <c r="E83" s="8">
        <f t="shared" si="1"/>
        <v>108.5</v>
      </c>
      <c r="F83" s="9">
        <v>39941</v>
      </c>
    </row>
    <row r="84" spans="1:6">
      <c r="A84" s="7" t="s">
        <v>14</v>
      </c>
      <c r="B84" s="7" t="s">
        <v>11</v>
      </c>
      <c r="C84" s="8">
        <v>10</v>
      </c>
      <c r="D84" s="7">
        <v>13</v>
      </c>
      <c r="E84" s="8">
        <f t="shared" si="1"/>
        <v>130</v>
      </c>
      <c r="F84" s="9">
        <v>39941</v>
      </c>
    </row>
    <row r="85" spans="1:6">
      <c r="A85" s="7" t="s">
        <v>14</v>
      </c>
      <c r="B85" s="7" t="s">
        <v>12</v>
      </c>
      <c r="C85" s="8">
        <v>2.5</v>
      </c>
      <c r="D85" s="7">
        <v>96</v>
      </c>
      <c r="E85" s="8">
        <f t="shared" si="1"/>
        <v>240</v>
      </c>
      <c r="F85" s="9">
        <v>39941</v>
      </c>
    </row>
    <row r="86" spans="1:6">
      <c r="A86" s="7" t="s">
        <v>5</v>
      </c>
      <c r="B86" s="7" t="s">
        <v>6</v>
      </c>
      <c r="C86" s="8">
        <v>12</v>
      </c>
      <c r="D86" s="7">
        <v>70</v>
      </c>
      <c r="E86" s="8">
        <f t="shared" si="1"/>
        <v>840</v>
      </c>
      <c r="F86" s="9">
        <v>39942</v>
      </c>
    </row>
    <row r="87" spans="1:6">
      <c r="A87" s="7" t="s">
        <v>5</v>
      </c>
      <c r="B87" s="7" t="s">
        <v>7</v>
      </c>
      <c r="C87" s="8">
        <v>1.5</v>
      </c>
      <c r="D87" s="7">
        <v>160</v>
      </c>
      <c r="E87" s="8">
        <f t="shared" si="1"/>
        <v>240</v>
      </c>
      <c r="F87" s="9">
        <v>39942</v>
      </c>
    </row>
    <row r="88" spans="1:6">
      <c r="A88" s="7" t="s">
        <v>5</v>
      </c>
      <c r="B88" s="7" t="s">
        <v>8</v>
      </c>
      <c r="C88" s="8">
        <v>1.75</v>
      </c>
      <c r="D88" s="7">
        <v>60</v>
      </c>
      <c r="E88" s="8">
        <f t="shared" si="1"/>
        <v>105</v>
      </c>
      <c r="F88" s="9">
        <v>39942</v>
      </c>
    </row>
    <row r="89" spans="1:6">
      <c r="A89" s="7" t="s">
        <v>5</v>
      </c>
      <c r="B89" s="7" t="s">
        <v>9</v>
      </c>
      <c r="C89" s="8">
        <v>3</v>
      </c>
      <c r="D89" s="7">
        <v>122</v>
      </c>
      <c r="E89" s="8">
        <f t="shared" si="1"/>
        <v>366</v>
      </c>
      <c r="F89" s="9">
        <v>39942</v>
      </c>
    </row>
    <row r="90" spans="1:6">
      <c r="A90" s="7" t="s">
        <v>5</v>
      </c>
      <c r="B90" s="7" t="s">
        <v>10</v>
      </c>
      <c r="C90" s="8">
        <v>1.75</v>
      </c>
      <c r="D90" s="7">
        <v>32</v>
      </c>
      <c r="E90" s="8">
        <f t="shared" si="1"/>
        <v>56</v>
      </c>
      <c r="F90" s="9">
        <v>39942</v>
      </c>
    </row>
    <row r="91" spans="1:6">
      <c r="A91" s="7" t="s">
        <v>5</v>
      </c>
      <c r="B91" s="7" t="s">
        <v>11</v>
      </c>
      <c r="C91" s="8">
        <v>10</v>
      </c>
      <c r="D91" s="7">
        <v>13</v>
      </c>
      <c r="E91" s="8">
        <f t="shared" si="1"/>
        <v>130</v>
      </c>
      <c r="F91" s="9">
        <v>39942</v>
      </c>
    </row>
    <row r="92" spans="1:6">
      <c r="A92" s="7" t="s">
        <v>5</v>
      </c>
      <c r="B92" s="7" t="s">
        <v>12</v>
      </c>
      <c r="C92" s="8">
        <v>2.5</v>
      </c>
      <c r="D92" s="7">
        <v>74</v>
      </c>
      <c r="E92" s="8">
        <f t="shared" si="1"/>
        <v>185</v>
      </c>
      <c r="F92" s="9">
        <v>39942</v>
      </c>
    </row>
    <row r="93" spans="1:6">
      <c r="A93" s="7" t="s">
        <v>13</v>
      </c>
      <c r="B93" s="7" t="s">
        <v>6</v>
      </c>
      <c r="C93" s="8">
        <v>12</v>
      </c>
      <c r="D93" s="7">
        <v>150</v>
      </c>
      <c r="E93" s="8">
        <f t="shared" si="1"/>
        <v>1800</v>
      </c>
      <c r="F93" s="9">
        <v>39942</v>
      </c>
    </row>
    <row r="94" spans="1:6">
      <c r="A94" s="7" t="s">
        <v>13</v>
      </c>
      <c r="B94" s="7" t="s">
        <v>7</v>
      </c>
      <c r="C94" s="8">
        <v>1.5</v>
      </c>
      <c r="D94" s="7">
        <v>200</v>
      </c>
      <c r="E94" s="8">
        <f t="shared" si="1"/>
        <v>300</v>
      </c>
      <c r="F94" s="9">
        <v>39942</v>
      </c>
    </row>
    <row r="95" spans="1:6">
      <c r="A95" s="7" t="s">
        <v>13</v>
      </c>
      <c r="B95" s="7" t="s">
        <v>8</v>
      </c>
      <c r="C95" s="8">
        <v>1.75</v>
      </c>
      <c r="D95" s="7">
        <v>76</v>
      </c>
      <c r="E95" s="8">
        <f t="shared" si="1"/>
        <v>133</v>
      </c>
      <c r="F95" s="9">
        <v>39942</v>
      </c>
    </row>
    <row r="96" spans="1:6">
      <c r="A96" s="7" t="s">
        <v>13</v>
      </c>
      <c r="B96" s="7" t="s">
        <v>9</v>
      </c>
      <c r="C96" s="8">
        <v>3</v>
      </c>
      <c r="D96" s="7">
        <v>163</v>
      </c>
      <c r="E96" s="8">
        <f t="shared" si="1"/>
        <v>489</v>
      </c>
      <c r="F96" s="9">
        <v>39942</v>
      </c>
    </row>
    <row r="97" spans="1:6">
      <c r="A97" s="7" t="s">
        <v>13</v>
      </c>
      <c r="B97" s="7" t="s">
        <v>10</v>
      </c>
      <c r="C97" s="8">
        <v>1.75</v>
      </c>
      <c r="D97" s="7">
        <v>106</v>
      </c>
      <c r="E97" s="8">
        <f t="shared" si="1"/>
        <v>185.5</v>
      </c>
      <c r="F97" s="9">
        <v>39942</v>
      </c>
    </row>
    <row r="98" spans="1:6">
      <c r="A98" s="7" t="s">
        <v>13</v>
      </c>
      <c r="B98" s="7" t="s">
        <v>11</v>
      </c>
      <c r="C98" s="8">
        <v>10</v>
      </c>
      <c r="D98" s="7">
        <v>31</v>
      </c>
      <c r="E98" s="8">
        <f t="shared" si="1"/>
        <v>310</v>
      </c>
      <c r="F98" s="9">
        <v>39942</v>
      </c>
    </row>
    <row r="99" spans="1:6">
      <c r="A99" s="7" t="s">
        <v>13</v>
      </c>
      <c r="B99" s="7" t="s">
        <v>12</v>
      </c>
      <c r="C99" s="8">
        <v>2.5</v>
      </c>
      <c r="D99" s="7">
        <v>160</v>
      </c>
      <c r="E99" s="8">
        <f t="shared" si="1"/>
        <v>400</v>
      </c>
      <c r="F99" s="9">
        <v>39942</v>
      </c>
    </row>
    <row r="100" spans="1:6">
      <c r="A100" s="7" t="s">
        <v>14</v>
      </c>
      <c r="B100" s="7" t="s">
        <v>6</v>
      </c>
      <c r="C100" s="8">
        <v>12</v>
      </c>
      <c r="D100" s="7">
        <v>61</v>
      </c>
      <c r="E100" s="8">
        <f t="shared" si="1"/>
        <v>732</v>
      </c>
      <c r="F100" s="9">
        <v>39942</v>
      </c>
    </row>
    <row r="101" spans="1:6">
      <c r="A101" s="7" t="s">
        <v>14</v>
      </c>
      <c r="B101" s="7" t="s">
        <v>7</v>
      </c>
      <c r="C101" s="8">
        <v>1.5</v>
      </c>
      <c r="D101" s="7">
        <v>144</v>
      </c>
      <c r="E101" s="8">
        <f t="shared" si="1"/>
        <v>216</v>
      </c>
      <c r="F101" s="9">
        <v>39942</v>
      </c>
    </row>
    <row r="102" spans="1:6">
      <c r="A102" s="7" t="s">
        <v>14</v>
      </c>
      <c r="B102" s="7" t="s">
        <v>8</v>
      </c>
      <c r="C102" s="8">
        <v>1.75</v>
      </c>
      <c r="D102" s="7">
        <v>30</v>
      </c>
      <c r="E102" s="8">
        <f t="shared" si="1"/>
        <v>52.5</v>
      </c>
      <c r="F102" s="9">
        <v>39942</v>
      </c>
    </row>
    <row r="103" spans="1:6">
      <c r="A103" s="7" t="s">
        <v>14</v>
      </c>
      <c r="B103" s="7" t="s">
        <v>9</v>
      </c>
      <c r="C103" s="8">
        <v>3</v>
      </c>
      <c r="D103" s="7">
        <v>96</v>
      </c>
      <c r="E103" s="8">
        <f t="shared" si="1"/>
        <v>288</v>
      </c>
      <c r="F103" s="9">
        <v>39942</v>
      </c>
    </row>
    <row r="104" spans="1:6">
      <c r="A104" s="7" t="s">
        <v>14</v>
      </c>
      <c r="B104" s="7" t="s">
        <v>10</v>
      </c>
      <c r="C104" s="8">
        <v>1.75</v>
      </c>
      <c r="D104" s="7">
        <v>54</v>
      </c>
      <c r="E104" s="8">
        <f t="shared" si="1"/>
        <v>94.5</v>
      </c>
      <c r="F104" s="9">
        <v>39942</v>
      </c>
    </row>
    <row r="105" spans="1:6">
      <c r="A105" s="7" t="s">
        <v>14</v>
      </c>
      <c r="B105" s="7" t="s">
        <v>11</v>
      </c>
      <c r="C105" s="8">
        <v>10</v>
      </c>
      <c r="D105" s="7">
        <v>18</v>
      </c>
      <c r="E105" s="8">
        <f t="shared" si="1"/>
        <v>180</v>
      </c>
      <c r="F105" s="9">
        <v>39942</v>
      </c>
    </row>
    <row r="106" spans="1:6">
      <c r="A106" s="7" t="s">
        <v>14</v>
      </c>
      <c r="B106" s="7" t="s">
        <v>12</v>
      </c>
      <c r="C106" s="8">
        <v>2.5</v>
      </c>
      <c r="D106" s="7">
        <v>100</v>
      </c>
      <c r="E106" s="8">
        <f t="shared" si="1"/>
        <v>250</v>
      </c>
      <c r="F106" s="9">
        <v>39942</v>
      </c>
    </row>
    <row r="107" spans="1:6">
      <c r="A107" s="7" t="s">
        <v>5</v>
      </c>
      <c r="B107" s="7" t="s">
        <v>6</v>
      </c>
      <c r="C107" s="8">
        <v>12</v>
      </c>
      <c r="D107" s="7">
        <v>65</v>
      </c>
      <c r="E107" s="8">
        <f t="shared" si="1"/>
        <v>780</v>
      </c>
      <c r="F107" s="9">
        <v>39943</v>
      </c>
    </row>
    <row r="108" spans="1:6">
      <c r="A108" s="7" t="s">
        <v>5</v>
      </c>
      <c r="B108" s="7" t="s">
        <v>7</v>
      </c>
      <c r="C108" s="8">
        <v>1.5</v>
      </c>
      <c r="D108" s="7">
        <v>76</v>
      </c>
      <c r="E108" s="8">
        <f t="shared" si="1"/>
        <v>114</v>
      </c>
      <c r="F108" s="9">
        <v>39943</v>
      </c>
    </row>
    <row r="109" spans="1:6">
      <c r="A109" s="7" t="s">
        <v>5</v>
      </c>
      <c r="B109" s="7" t="s">
        <v>8</v>
      </c>
      <c r="C109" s="8">
        <v>1.75</v>
      </c>
      <c r="D109" s="7">
        <v>72</v>
      </c>
      <c r="E109" s="8">
        <f t="shared" si="1"/>
        <v>126</v>
      </c>
      <c r="F109" s="9">
        <v>39943</v>
      </c>
    </row>
    <row r="110" spans="1:6">
      <c r="A110" s="7" t="s">
        <v>5</v>
      </c>
      <c r="B110" s="7" t="s">
        <v>9</v>
      </c>
      <c r="C110" s="8">
        <v>3</v>
      </c>
      <c r="D110" s="7">
        <v>65</v>
      </c>
      <c r="E110" s="8">
        <f t="shared" si="1"/>
        <v>195</v>
      </c>
      <c r="F110" s="9">
        <v>39943</v>
      </c>
    </row>
    <row r="111" spans="1:6">
      <c r="A111" s="7" t="s">
        <v>5</v>
      </c>
      <c r="B111" s="7" t="s">
        <v>10</v>
      </c>
      <c r="C111" s="8">
        <v>1.75</v>
      </c>
      <c r="D111" s="7">
        <v>36</v>
      </c>
      <c r="E111" s="8">
        <f t="shared" si="1"/>
        <v>63</v>
      </c>
      <c r="F111" s="9">
        <v>39943</v>
      </c>
    </row>
    <row r="112" spans="1:6">
      <c r="A112" s="7" t="s">
        <v>5</v>
      </c>
      <c r="B112" s="7" t="s">
        <v>11</v>
      </c>
      <c r="C112" s="8">
        <v>10</v>
      </c>
      <c r="D112" s="7">
        <v>15</v>
      </c>
      <c r="E112" s="8">
        <f t="shared" si="1"/>
        <v>150</v>
      </c>
      <c r="F112" s="9">
        <v>39943</v>
      </c>
    </row>
    <row r="113" spans="1:6">
      <c r="A113" s="7" t="s">
        <v>5</v>
      </c>
      <c r="B113" s="7" t="s">
        <v>12</v>
      </c>
      <c r="C113" s="8">
        <v>2.5</v>
      </c>
      <c r="D113" s="7">
        <v>36</v>
      </c>
      <c r="E113" s="8">
        <f t="shared" si="1"/>
        <v>90</v>
      </c>
      <c r="F113" s="9">
        <v>39943</v>
      </c>
    </row>
    <row r="114" spans="1:6">
      <c r="A114" s="7" t="s">
        <v>13</v>
      </c>
      <c r="B114" s="7" t="s">
        <v>6</v>
      </c>
      <c r="C114" s="8">
        <v>12</v>
      </c>
      <c r="D114" s="7">
        <v>130</v>
      </c>
      <c r="E114" s="8">
        <f t="shared" si="1"/>
        <v>1560</v>
      </c>
      <c r="F114" s="9">
        <v>39943</v>
      </c>
    </row>
    <row r="115" spans="1:6">
      <c r="A115" s="7" t="s">
        <v>13</v>
      </c>
      <c r="B115" s="7" t="s">
        <v>7</v>
      </c>
      <c r="C115" s="8">
        <v>1.5</v>
      </c>
      <c r="D115" s="7">
        <v>130</v>
      </c>
      <c r="E115" s="8">
        <f t="shared" si="1"/>
        <v>195</v>
      </c>
      <c r="F115" s="9">
        <v>39943</v>
      </c>
    </row>
    <row r="116" spans="1:6">
      <c r="A116" s="7" t="s">
        <v>13</v>
      </c>
      <c r="B116" s="7" t="s">
        <v>8</v>
      </c>
      <c r="C116" s="8">
        <v>1.75</v>
      </c>
      <c r="D116" s="7">
        <v>56</v>
      </c>
      <c r="E116" s="8">
        <f t="shared" si="1"/>
        <v>98</v>
      </c>
      <c r="F116" s="9">
        <v>39943</v>
      </c>
    </row>
    <row r="117" spans="1:6">
      <c r="A117" s="7" t="s">
        <v>13</v>
      </c>
      <c r="B117" s="7" t="s">
        <v>9</v>
      </c>
      <c r="C117" s="8">
        <v>3</v>
      </c>
      <c r="D117" s="7">
        <v>112</v>
      </c>
      <c r="E117" s="8">
        <f t="shared" si="1"/>
        <v>336</v>
      </c>
      <c r="F117" s="9">
        <v>39943</v>
      </c>
    </row>
    <row r="118" spans="1:6">
      <c r="A118" s="7" t="s">
        <v>13</v>
      </c>
      <c r="B118" s="7" t="s">
        <v>10</v>
      </c>
      <c r="C118" s="8">
        <v>1.75</v>
      </c>
      <c r="D118" s="7">
        <v>86</v>
      </c>
      <c r="E118" s="8">
        <f t="shared" si="1"/>
        <v>150.5</v>
      </c>
      <c r="F118" s="9">
        <v>39943</v>
      </c>
    </row>
    <row r="119" spans="1:6">
      <c r="A119" s="7" t="s">
        <v>13</v>
      </c>
      <c r="B119" s="7" t="s">
        <v>11</v>
      </c>
      <c r="C119" s="8">
        <v>10</v>
      </c>
      <c r="D119" s="7">
        <v>44</v>
      </c>
      <c r="E119" s="8">
        <f t="shared" si="1"/>
        <v>440</v>
      </c>
      <c r="F119" s="9">
        <v>39943</v>
      </c>
    </row>
    <row r="120" spans="1:6">
      <c r="A120" s="7" t="s">
        <v>13</v>
      </c>
      <c r="B120" s="7" t="s">
        <v>12</v>
      </c>
      <c r="C120" s="8">
        <v>2.5</v>
      </c>
      <c r="D120" s="7">
        <v>64</v>
      </c>
      <c r="E120" s="8">
        <f t="shared" si="1"/>
        <v>160</v>
      </c>
      <c r="F120" s="9">
        <v>39943</v>
      </c>
    </row>
    <row r="121" spans="1:6">
      <c r="A121" s="7" t="s">
        <v>14</v>
      </c>
      <c r="B121" s="7" t="s">
        <v>6</v>
      </c>
      <c r="C121" s="8">
        <v>12</v>
      </c>
      <c r="D121" s="7">
        <v>80</v>
      </c>
      <c r="E121" s="8">
        <f t="shared" si="1"/>
        <v>960</v>
      </c>
      <c r="F121" s="9">
        <v>39943</v>
      </c>
    </row>
    <row r="122" spans="1:6">
      <c r="A122" s="7" t="s">
        <v>14</v>
      </c>
      <c r="B122" s="7" t="s">
        <v>7</v>
      </c>
      <c r="C122" s="8">
        <v>1.5</v>
      </c>
      <c r="D122" s="7">
        <v>64</v>
      </c>
      <c r="E122" s="8">
        <f t="shared" si="1"/>
        <v>96</v>
      </c>
      <c r="F122" s="9">
        <v>39943</v>
      </c>
    </row>
    <row r="123" spans="1:6">
      <c r="A123" s="7" t="s">
        <v>14</v>
      </c>
      <c r="B123" s="7" t="s">
        <v>8</v>
      </c>
      <c r="C123" s="8">
        <v>1.75</v>
      </c>
      <c r="D123" s="7">
        <v>20</v>
      </c>
      <c r="E123" s="8">
        <f t="shared" si="1"/>
        <v>35</v>
      </c>
      <c r="F123" s="9">
        <v>39943</v>
      </c>
    </row>
    <row r="124" spans="1:6">
      <c r="A124" s="7" t="s">
        <v>14</v>
      </c>
      <c r="B124" s="7" t="s">
        <v>9</v>
      </c>
      <c r="C124" s="8">
        <v>3</v>
      </c>
      <c r="D124" s="7">
        <v>77</v>
      </c>
      <c r="E124" s="8">
        <f t="shared" si="1"/>
        <v>231</v>
      </c>
      <c r="F124" s="9">
        <v>39943</v>
      </c>
    </row>
    <row r="125" spans="1:6">
      <c r="A125" s="7" t="s">
        <v>14</v>
      </c>
      <c r="B125" s="7" t="s">
        <v>10</v>
      </c>
      <c r="C125" s="8">
        <v>1.75</v>
      </c>
      <c r="D125" s="7">
        <v>40</v>
      </c>
      <c r="E125" s="8">
        <f t="shared" si="1"/>
        <v>70</v>
      </c>
      <c r="F125" s="9">
        <v>39943</v>
      </c>
    </row>
    <row r="126" spans="1:6">
      <c r="A126" s="7" t="s">
        <v>14</v>
      </c>
      <c r="B126" s="7" t="s">
        <v>11</v>
      </c>
      <c r="C126" s="8">
        <v>10</v>
      </c>
      <c r="D126" s="7">
        <v>22</v>
      </c>
      <c r="E126" s="8">
        <f t="shared" si="1"/>
        <v>220</v>
      </c>
      <c r="F126" s="9">
        <v>39943</v>
      </c>
    </row>
    <row r="127" spans="1:6">
      <c r="A127" s="7" t="s">
        <v>14</v>
      </c>
      <c r="B127" s="7" t="s">
        <v>12</v>
      </c>
      <c r="C127" s="8">
        <v>2.5</v>
      </c>
      <c r="D127" s="7">
        <v>33</v>
      </c>
      <c r="E127" s="8">
        <f t="shared" si="1"/>
        <v>82.5</v>
      </c>
      <c r="F127" s="9">
        <v>39943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1903E-049D-49A9-9D4B-1164F6B9EE37}">
  <sheetPr codeName="Sheet6">
    <tabColor theme="3"/>
  </sheetPr>
  <dimension ref="A1:F131"/>
  <sheetViews>
    <sheetView workbookViewId="0">
      <selection activeCell="A16" sqref="A16:XFD19"/>
    </sheetView>
  </sheetViews>
  <sheetFormatPr defaultRowHeight="12.75"/>
  <cols>
    <col min="1" max="1" width="15.1328125" customWidth="1"/>
    <col min="2" max="2" width="20.265625" customWidth="1"/>
    <col min="3" max="3" width="13.1328125" customWidth="1"/>
    <col min="4" max="4" width="13" customWidth="1"/>
    <col min="5" max="5" width="14.73046875" customWidth="1"/>
    <col min="6" max="6" width="21.86328125" bestFit="1" customWidth="1"/>
    <col min="9" max="9" width="23.73046875" bestFit="1" customWidth="1"/>
    <col min="10" max="10" width="16.265625" bestFit="1" customWidth="1"/>
    <col min="11" max="11" width="9.86328125" bestFit="1" customWidth="1"/>
    <col min="12" max="12" width="7.73046875" bestFit="1" customWidth="1"/>
    <col min="13" max="13" width="11.1328125" bestFit="1" customWidth="1"/>
    <col min="14" max="14" width="23.73046875" bestFit="1" customWidth="1"/>
    <col min="15" max="15" width="9.86328125" bestFit="1" customWidth="1"/>
    <col min="16" max="16" width="7.3984375" bestFit="1" customWidth="1"/>
    <col min="17" max="17" width="27.1328125" bestFit="1" customWidth="1"/>
    <col min="18" max="18" width="22" bestFit="1" customWidth="1"/>
    <col min="19" max="19" width="9.86328125" bestFit="1" customWidth="1"/>
    <col min="20" max="20" width="7.73046875" bestFit="1" customWidth="1"/>
    <col min="21" max="21" width="25.3984375" bestFit="1" customWidth="1"/>
    <col min="22" max="22" width="19.1328125" bestFit="1" customWidth="1"/>
    <col min="23" max="23" width="9.86328125" bestFit="1" customWidth="1"/>
    <col min="24" max="24" width="7.3984375" bestFit="1" customWidth="1"/>
    <col min="25" max="25" width="22.59765625" bestFit="1" customWidth="1"/>
    <col min="26" max="26" width="21.3984375" bestFit="1" customWidth="1"/>
    <col min="27" max="27" width="9.86328125" bestFit="1" customWidth="1"/>
    <col min="28" max="28" width="7.3984375" bestFit="1" customWidth="1"/>
    <col min="29" max="29" width="24.86328125" bestFit="1" customWidth="1"/>
    <col min="30" max="30" width="21.1328125" bestFit="1" customWidth="1"/>
    <col min="31" max="31" width="9.86328125" bestFit="1" customWidth="1"/>
    <col min="32" max="32" width="7.3984375" bestFit="1" customWidth="1"/>
    <col min="33" max="33" width="24.59765625" bestFit="1" customWidth="1"/>
    <col min="34" max="34" width="11.1328125" bestFit="1" customWidth="1"/>
  </cols>
  <sheetData>
    <row r="1" spans="1:6">
      <c r="A1" t="s">
        <v>0</v>
      </c>
      <c r="B1" t="s">
        <v>1</v>
      </c>
      <c r="C1" t="s">
        <v>2</v>
      </c>
      <c r="D1" t="s">
        <v>3</v>
      </c>
      <c r="E1" t="s">
        <v>1170</v>
      </c>
      <c r="F1" t="s">
        <v>4</v>
      </c>
    </row>
    <row r="2" spans="1:6">
      <c r="A2" t="s">
        <v>5</v>
      </c>
      <c r="B2" t="s">
        <v>6</v>
      </c>
      <c r="C2">
        <v>12</v>
      </c>
      <c r="D2">
        <v>25</v>
      </c>
      <c r="E2">
        <f>C2*D2</f>
        <v>300</v>
      </c>
      <c r="F2">
        <v>39938</v>
      </c>
    </row>
    <row r="3" spans="1:6">
      <c r="A3" t="s">
        <v>5</v>
      </c>
      <c r="B3" t="s">
        <v>7</v>
      </c>
      <c r="C3">
        <v>1.5</v>
      </c>
      <c r="D3">
        <v>88</v>
      </c>
      <c r="E3">
        <f t="shared" ref="E3:E70" si="0">C3*D3</f>
        <v>132</v>
      </c>
      <c r="F3">
        <v>39938</v>
      </c>
    </row>
    <row r="4" spans="1:6">
      <c r="A4" t="s">
        <v>5</v>
      </c>
      <c r="B4" t="s">
        <v>8</v>
      </c>
      <c r="C4">
        <v>1.75</v>
      </c>
      <c r="D4">
        <v>5</v>
      </c>
      <c r="E4">
        <f t="shared" si="0"/>
        <v>8.75</v>
      </c>
      <c r="F4">
        <v>39938</v>
      </c>
    </row>
    <row r="5" spans="1:6">
      <c r="A5" t="s">
        <v>5</v>
      </c>
      <c r="B5" t="s">
        <v>9</v>
      </c>
      <c r="C5">
        <v>3</v>
      </c>
      <c r="D5">
        <v>52</v>
      </c>
      <c r="E5">
        <f t="shared" si="0"/>
        <v>156</v>
      </c>
      <c r="F5">
        <v>39938</v>
      </c>
    </row>
    <row r="6" spans="1:6">
      <c r="A6" t="s">
        <v>5</v>
      </c>
      <c r="B6" t="s">
        <v>10</v>
      </c>
      <c r="C6">
        <v>1.75</v>
      </c>
      <c r="D6">
        <v>28</v>
      </c>
      <c r="E6">
        <f t="shared" si="0"/>
        <v>49</v>
      </c>
      <c r="F6">
        <v>39938</v>
      </c>
    </row>
    <row r="7" spans="1:6">
      <c r="A7" t="s">
        <v>5</v>
      </c>
      <c r="B7" t="s">
        <v>11</v>
      </c>
      <c r="C7">
        <v>10</v>
      </c>
      <c r="D7">
        <v>5</v>
      </c>
      <c r="E7">
        <f t="shared" si="0"/>
        <v>50</v>
      </c>
      <c r="F7">
        <v>39938</v>
      </c>
    </row>
    <row r="8" spans="1:6" ht="13.5" customHeight="1">
      <c r="A8" t="s">
        <v>5</v>
      </c>
      <c r="B8" t="s">
        <v>12</v>
      </c>
      <c r="C8">
        <v>2.5</v>
      </c>
      <c r="D8">
        <v>23</v>
      </c>
      <c r="E8">
        <f t="shared" si="0"/>
        <v>57.5</v>
      </c>
      <c r="F8">
        <v>39938</v>
      </c>
    </row>
    <row r="9" spans="1:6">
      <c r="A9" t="s">
        <v>13</v>
      </c>
      <c r="B9" t="s">
        <v>6</v>
      </c>
      <c r="C9">
        <v>12</v>
      </c>
      <c r="D9">
        <v>50</v>
      </c>
      <c r="E9">
        <f t="shared" si="0"/>
        <v>600</v>
      </c>
      <c r="F9">
        <v>39938</v>
      </c>
    </row>
    <row r="10" spans="1:6">
      <c r="A10" t="s">
        <v>13</v>
      </c>
      <c r="B10" t="s">
        <v>7</v>
      </c>
      <c r="C10">
        <v>1.5</v>
      </c>
      <c r="D10">
        <v>126</v>
      </c>
      <c r="E10">
        <f t="shared" si="0"/>
        <v>189</v>
      </c>
      <c r="F10">
        <v>39938</v>
      </c>
    </row>
    <row r="11" spans="1:6">
      <c r="A11" t="s">
        <v>13</v>
      </c>
      <c r="B11" t="s">
        <v>8</v>
      </c>
      <c r="C11">
        <v>1.75</v>
      </c>
      <c r="D11">
        <v>44</v>
      </c>
      <c r="E11">
        <f t="shared" si="0"/>
        <v>77</v>
      </c>
      <c r="F11">
        <v>39938</v>
      </c>
    </row>
    <row r="12" spans="1:6">
      <c r="A12" t="s">
        <v>13</v>
      </c>
      <c r="B12" t="s">
        <v>9</v>
      </c>
      <c r="C12">
        <v>3</v>
      </c>
      <c r="D12">
        <v>88</v>
      </c>
      <c r="E12">
        <f t="shared" si="0"/>
        <v>264</v>
      </c>
      <c r="F12">
        <v>39938</v>
      </c>
    </row>
    <row r="13" spans="1:6">
      <c r="A13" t="s">
        <v>13</v>
      </c>
      <c r="B13" t="s">
        <v>10</v>
      </c>
      <c r="C13">
        <v>1.75</v>
      </c>
      <c r="D13">
        <v>48</v>
      </c>
      <c r="E13">
        <f t="shared" si="0"/>
        <v>84</v>
      </c>
      <c r="F13">
        <v>39938</v>
      </c>
    </row>
    <row r="14" spans="1:6">
      <c r="A14" t="s">
        <v>13</v>
      </c>
      <c r="B14" t="s">
        <v>11</v>
      </c>
      <c r="C14">
        <v>10</v>
      </c>
      <c r="D14">
        <v>16</v>
      </c>
      <c r="E14">
        <f t="shared" si="0"/>
        <v>160</v>
      </c>
      <c r="F14">
        <v>39938</v>
      </c>
    </row>
    <row r="15" spans="1:6">
      <c r="A15" t="s">
        <v>13</v>
      </c>
      <c r="B15" t="s">
        <v>12</v>
      </c>
      <c r="C15">
        <v>2.5</v>
      </c>
      <c r="D15">
        <v>54</v>
      </c>
      <c r="E15">
        <f t="shared" si="0"/>
        <v>135</v>
      </c>
      <c r="F15">
        <v>39938</v>
      </c>
    </row>
    <row r="20" spans="1:6">
      <c r="A20" t="s">
        <v>14</v>
      </c>
      <c r="B20" t="s">
        <v>6</v>
      </c>
      <c r="C20">
        <v>12</v>
      </c>
      <c r="D20">
        <v>20</v>
      </c>
      <c r="E20">
        <f t="shared" si="0"/>
        <v>240</v>
      </c>
      <c r="F20">
        <v>39938</v>
      </c>
    </row>
    <row r="21" spans="1:6">
      <c r="A21" t="s">
        <v>14</v>
      </c>
      <c r="B21" t="s">
        <v>7</v>
      </c>
      <c r="C21">
        <v>1.5</v>
      </c>
      <c r="D21">
        <v>75</v>
      </c>
      <c r="E21">
        <f t="shared" si="0"/>
        <v>112.5</v>
      </c>
      <c r="F21">
        <v>39938</v>
      </c>
    </row>
    <row r="22" spans="1:6">
      <c r="A22" t="s">
        <v>14</v>
      </c>
      <c r="B22" t="s">
        <v>8</v>
      </c>
      <c r="C22">
        <v>1.75</v>
      </c>
      <c r="D22">
        <v>22</v>
      </c>
      <c r="E22">
        <f t="shared" si="0"/>
        <v>38.5</v>
      </c>
      <c r="F22">
        <v>39938</v>
      </c>
    </row>
    <row r="23" spans="1:6">
      <c r="A23" t="s">
        <v>14</v>
      </c>
      <c r="B23" t="s">
        <v>9</v>
      </c>
      <c r="C23">
        <v>3</v>
      </c>
      <c r="D23">
        <v>30</v>
      </c>
      <c r="E23">
        <f t="shared" si="0"/>
        <v>90</v>
      </c>
      <c r="F23">
        <v>39938</v>
      </c>
    </row>
    <row r="24" spans="1:6">
      <c r="A24" t="s">
        <v>14</v>
      </c>
      <c r="B24" t="s">
        <v>10</v>
      </c>
      <c r="C24">
        <v>1.75</v>
      </c>
      <c r="D24">
        <v>26</v>
      </c>
      <c r="E24">
        <f t="shared" si="0"/>
        <v>45.5</v>
      </c>
      <c r="F24">
        <v>39938</v>
      </c>
    </row>
    <row r="25" spans="1:6">
      <c r="A25" t="s">
        <v>14</v>
      </c>
      <c r="B25" t="s">
        <v>11</v>
      </c>
      <c r="C25">
        <v>10</v>
      </c>
      <c r="D25">
        <v>6</v>
      </c>
      <c r="E25">
        <f t="shared" si="0"/>
        <v>60</v>
      </c>
      <c r="F25">
        <v>39938</v>
      </c>
    </row>
    <row r="26" spans="1:6">
      <c r="A26" t="s">
        <v>14</v>
      </c>
      <c r="B26" t="s">
        <v>12</v>
      </c>
      <c r="C26">
        <v>2.5</v>
      </c>
      <c r="D26">
        <v>26</v>
      </c>
      <c r="E26">
        <f t="shared" si="0"/>
        <v>65</v>
      </c>
      <c r="F26">
        <v>39938</v>
      </c>
    </row>
    <row r="27" spans="1:6">
      <c r="A27" t="s">
        <v>5</v>
      </c>
      <c r="B27" t="s">
        <v>6</v>
      </c>
      <c r="C27">
        <v>12</v>
      </c>
      <c r="D27">
        <v>29</v>
      </c>
      <c r="E27">
        <f t="shared" si="0"/>
        <v>348</v>
      </c>
      <c r="F27">
        <v>39939</v>
      </c>
    </row>
    <row r="28" spans="1:6">
      <c r="A28" t="s">
        <v>5</v>
      </c>
      <c r="B28" t="s">
        <v>7</v>
      </c>
      <c r="C28">
        <v>1.5</v>
      </c>
      <c r="D28">
        <v>94</v>
      </c>
      <c r="E28">
        <f t="shared" si="0"/>
        <v>141</v>
      </c>
      <c r="F28">
        <v>39939</v>
      </c>
    </row>
    <row r="29" spans="1:6">
      <c r="A29" t="s">
        <v>5</v>
      </c>
      <c r="B29" t="s">
        <v>8</v>
      </c>
      <c r="C29">
        <v>1.75</v>
      </c>
      <c r="D29">
        <v>9</v>
      </c>
      <c r="E29">
        <f t="shared" si="0"/>
        <v>15.75</v>
      </c>
      <c r="F29">
        <v>39939</v>
      </c>
    </row>
    <row r="30" spans="1:6">
      <c r="A30" t="s">
        <v>5</v>
      </c>
      <c r="B30" t="s">
        <v>9</v>
      </c>
      <c r="C30">
        <v>3</v>
      </c>
      <c r="D30">
        <v>77</v>
      </c>
      <c r="E30">
        <f t="shared" si="0"/>
        <v>231</v>
      </c>
      <c r="F30">
        <v>39939</v>
      </c>
    </row>
    <row r="31" spans="1:6">
      <c r="A31" t="s">
        <v>5</v>
      </c>
      <c r="B31" t="s">
        <v>10</v>
      </c>
      <c r="C31">
        <v>1.75</v>
      </c>
      <c r="D31">
        <v>19</v>
      </c>
      <c r="E31">
        <f t="shared" si="0"/>
        <v>33.25</v>
      </c>
      <c r="F31">
        <v>39939</v>
      </c>
    </row>
    <row r="32" spans="1:6">
      <c r="A32" t="s">
        <v>5</v>
      </c>
      <c r="B32" t="s">
        <v>11</v>
      </c>
      <c r="C32">
        <v>10</v>
      </c>
      <c r="D32">
        <v>7</v>
      </c>
      <c r="E32">
        <f t="shared" si="0"/>
        <v>70</v>
      </c>
      <c r="F32">
        <v>39939</v>
      </c>
    </row>
    <row r="33" spans="1:6">
      <c r="A33" t="s">
        <v>5</v>
      </c>
      <c r="B33" t="s">
        <v>12</v>
      </c>
      <c r="C33">
        <v>2.5</v>
      </c>
      <c r="D33">
        <v>42</v>
      </c>
      <c r="E33">
        <f t="shared" si="0"/>
        <v>105</v>
      </c>
      <c r="F33">
        <v>39939</v>
      </c>
    </row>
    <row r="34" spans="1:6">
      <c r="A34" t="s">
        <v>13</v>
      </c>
      <c r="B34" t="s">
        <v>6</v>
      </c>
      <c r="C34">
        <v>12</v>
      </c>
      <c r="D34">
        <v>79</v>
      </c>
      <c r="E34">
        <f t="shared" si="0"/>
        <v>948</v>
      </c>
      <c r="F34">
        <v>39939</v>
      </c>
    </row>
    <row r="35" spans="1:6">
      <c r="A35" t="s">
        <v>13</v>
      </c>
      <c r="B35" t="s">
        <v>7</v>
      </c>
      <c r="C35">
        <v>1.5</v>
      </c>
      <c r="D35">
        <v>140</v>
      </c>
      <c r="E35">
        <f t="shared" si="0"/>
        <v>210</v>
      </c>
      <c r="F35">
        <v>39939</v>
      </c>
    </row>
    <row r="36" spans="1:6">
      <c r="A36" t="s">
        <v>13</v>
      </c>
      <c r="B36" t="s">
        <v>8</v>
      </c>
      <c r="C36">
        <v>1.75</v>
      </c>
      <c r="D36">
        <v>62</v>
      </c>
      <c r="E36">
        <f t="shared" si="0"/>
        <v>108.5</v>
      </c>
      <c r="F36">
        <v>39939</v>
      </c>
    </row>
    <row r="37" spans="1:6">
      <c r="A37" t="s">
        <v>13</v>
      </c>
      <c r="B37" t="s">
        <v>9</v>
      </c>
      <c r="C37">
        <v>3</v>
      </c>
      <c r="D37">
        <v>144</v>
      </c>
      <c r="E37">
        <f t="shared" si="0"/>
        <v>432</v>
      </c>
      <c r="F37">
        <v>39939</v>
      </c>
    </row>
    <row r="38" spans="1:6">
      <c r="A38" t="s">
        <v>13</v>
      </c>
      <c r="B38" t="s">
        <v>10</v>
      </c>
      <c r="C38">
        <v>1.75</v>
      </c>
      <c r="D38">
        <v>64</v>
      </c>
      <c r="E38">
        <f t="shared" si="0"/>
        <v>112</v>
      </c>
      <c r="F38">
        <v>39939</v>
      </c>
    </row>
    <row r="39" spans="1:6">
      <c r="A39" t="s">
        <v>13</v>
      </c>
      <c r="B39" t="s">
        <v>11</v>
      </c>
      <c r="C39">
        <v>10</v>
      </c>
      <c r="D39">
        <v>17</v>
      </c>
      <c r="E39">
        <f t="shared" si="0"/>
        <v>170</v>
      </c>
      <c r="F39">
        <v>39939</v>
      </c>
    </row>
    <row r="40" spans="1:6">
      <c r="A40" t="s">
        <v>13</v>
      </c>
      <c r="B40" t="s">
        <v>12</v>
      </c>
      <c r="C40">
        <v>2.5</v>
      </c>
      <c r="D40">
        <v>88</v>
      </c>
      <c r="E40">
        <f t="shared" si="0"/>
        <v>220</v>
      </c>
      <c r="F40">
        <v>39939</v>
      </c>
    </row>
    <row r="41" spans="1:6">
      <c r="A41" t="s">
        <v>14</v>
      </c>
      <c r="B41" t="s">
        <v>6</v>
      </c>
      <c r="C41">
        <v>12</v>
      </c>
      <c r="D41">
        <v>43</v>
      </c>
      <c r="E41">
        <f t="shared" si="0"/>
        <v>516</v>
      </c>
      <c r="F41">
        <v>39939</v>
      </c>
    </row>
    <row r="42" spans="1:6">
      <c r="A42" t="s">
        <v>14</v>
      </c>
      <c r="B42" t="s">
        <v>7</v>
      </c>
      <c r="C42">
        <v>1.5</v>
      </c>
      <c r="D42">
        <v>80</v>
      </c>
      <c r="E42">
        <f t="shared" si="0"/>
        <v>120</v>
      </c>
      <c r="F42">
        <v>39939</v>
      </c>
    </row>
    <row r="43" spans="1:6">
      <c r="A43" t="s">
        <v>14</v>
      </c>
      <c r="B43" t="s">
        <v>8</v>
      </c>
      <c r="C43">
        <v>1.75</v>
      </c>
      <c r="D43">
        <v>30</v>
      </c>
      <c r="E43">
        <f t="shared" si="0"/>
        <v>52.5</v>
      </c>
      <c r="F43">
        <v>39939</v>
      </c>
    </row>
    <row r="44" spans="1:6">
      <c r="A44" t="s">
        <v>14</v>
      </c>
      <c r="B44" t="s">
        <v>9</v>
      </c>
      <c r="C44">
        <v>3</v>
      </c>
      <c r="D44">
        <v>90</v>
      </c>
      <c r="E44">
        <f t="shared" si="0"/>
        <v>270</v>
      </c>
      <c r="F44">
        <v>39939</v>
      </c>
    </row>
    <row r="45" spans="1:6">
      <c r="A45" t="s">
        <v>14</v>
      </c>
      <c r="B45" t="s">
        <v>10</v>
      </c>
      <c r="C45">
        <v>1.75</v>
      </c>
      <c r="D45">
        <v>26</v>
      </c>
      <c r="E45">
        <f t="shared" si="0"/>
        <v>45.5</v>
      </c>
      <c r="F45">
        <v>39939</v>
      </c>
    </row>
    <row r="46" spans="1:6">
      <c r="A46" t="s">
        <v>14</v>
      </c>
      <c r="B46" t="s">
        <v>11</v>
      </c>
      <c r="C46">
        <v>10</v>
      </c>
      <c r="D46">
        <v>10</v>
      </c>
      <c r="E46">
        <f t="shared" si="0"/>
        <v>100</v>
      </c>
      <c r="F46">
        <v>39939</v>
      </c>
    </row>
    <row r="47" spans="1:6">
      <c r="A47" t="s">
        <v>14</v>
      </c>
      <c r="B47" t="s">
        <v>12</v>
      </c>
      <c r="C47">
        <v>2.5</v>
      </c>
      <c r="D47">
        <v>44</v>
      </c>
      <c r="E47">
        <f t="shared" si="0"/>
        <v>110</v>
      </c>
      <c r="F47">
        <v>39939</v>
      </c>
    </row>
    <row r="48" spans="1:6">
      <c r="A48" t="s">
        <v>5</v>
      </c>
      <c r="B48" t="s">
        <v>6</v>
      </c>
      <c r="C48">
        <v>12</v>
      </c>
      <c r="D48">
        <v>40</v>
      </c>
      <c r="E48">
        <f t="shared" si="0"/>
        <v>480</v>
      </c>
      <c r="F48">
        <v>39940</v>
      </c>
    </row>
    <row r="49" spans="1:6">
      <c r="A49" t="s">
        <v>5</v>
      </c>
      <c r="B49" t="s">
        <v>7</v>
      </c>
      <c r="C49">
        <v>1.5</v>
      </c>
      <c r="D49">
        <v>102</v>
      </c>
      <c r="E49">
        <f t="shared" si="0"/>
        <v>153</v>
      </c>
      <c r="F49">
        <v>39940</v>
      </c>
    </row>
    <row r="50" spans="1:6">
      <c r="A50" t="s">
        <v>5</v>
      </c>
      <c r="B50" t="s">
        <v>8</v>
      </c>
      <c r="C50">
        <v>1.75</v>
      </c>
      <c r="D50">
        <v>12</v>
      </c>
      <c r="E50">
        <f t="shared" si="0"/>
        <v>21</v>
      </c>
      <c r="F50">
        <v>39940</v>
      </c>
    </row>
    <row r="51" spans="1:6">
      <c r="A51" t="s">
        <v>5</v>
      </c>
      <c r="B51" t="s">
        <v>9</v>
      </c>
      <c r="C51">
        <v>3</v>
      </c>
      <c r="D51">
        <v>102</v>
      </c>
      <c r="E51">
        <f t="shared" si="0"/>
        <v>306</v>
      </c>
      <c r="F51">
        <v>39940</v>
      </c>
    </row>
    <row r="52" spans="1:6">
      <c r="A52" t="s">
        <v>5</v>
      </c>
      <c r="B52" t="s">
        <v>10</v>
      </c>
      <c r="C52">
        <v>1.75</v>
      </c>
      <c r="D52">
        <v>23</v>
      </c>
      <c r="E52">
        <f t="shared" si="0"/>
        <v>40.25</v>
      </c>
      <c r="F52">
        <v>39940</v>
      </c>
    </row>
    <row r="53" spans="1:6">
      <c r="A53" t="s">
        <v>5</v>
      </c>
      <c r="B53" t="s">
        <v>11</v>
      </c>
      <c r="C53">
        <v>10</v>
      </c>
      <c r="D53">
        <v>7</v>
      </c>
      <c r="E53">
        <f t="shared" si="0"/>
        <v>70</v>
      </c>
      <c r="F53">
        <v>39940</v>
      </c>
    </row>
    <row r="54" spans="1:6">
      <c r="A54" t="s">
        <v>5</v>
      </c>
      <c r="B54" t="s">
        <v>12</v>
      </c>
      <c r="C54">
        <v>2.5</v>
      </c>
      <c r="D54">
        <v>77</v>
      </c>
      <c r="E54">
        <f t="shared" si="0"/>
        <v>192.5</v>
      </c>
      <c r="F54">
        <v>39940</v>
      </c>
    </row>
    <row r="55" spans="1:6">
      <c r="A55" t="s">
        <v>13</v>
      </c>
      <c r="B55" t="s">
        <v>6</v>
      </c>
      <c r="C55">
        <v>12</v>
      </c>
      <c r="D55">
        <v>80</v>
      </c>
      <c r="E55">
        <f t="shared" si="0"/>
        <v>960</v>
      </c>
      <c r="F55">
        <v>39940</v>
      </c>
    </row>
    <row r="56" spans="1:6">
      <c r="A56" t="s">
        <v>13</v>
      </c>
      <c r="B56" t="s">
        <v>7</v>
      </c>
      <c r="C56">
        <v>1.5</v>
      </c>
      <c r="D56">
        <v>158</v>
      </c>
      <c r="E56">
        <f t="shared" si="0"/>
        <v>237</v>
      </c>
      <c r="F56">
        <v>39940</v>
      </c>
    </row>
    <row r="57" spans="1:6">
      <c r="A57" t="s">
        <v>13</v>
      </c>
      <c r="B57" t="s">
        <v>8</v>
      </c>
      <c r="C57">
        <v>1.75</v>
      </c>
      <c r="D57">
        <v>99</v>
      </c>
      <c r="E57">
        <f t="shared" si="0"/>
        <v>173.25</v>
      </c>
      <c r="F57">
        <v>39940</v>
      </c>
    </row>
    <row r="58" spans="1:6">
      <c r="A58" t="s">
        <v>13</v>
      </c>
      <c r="B58" t="s">
        <v>9</v>
      </c>
      <c r="C58">
        <v>3</v>
      </c>
      <c r="D58">
        <v>180</v>
      </c>
      <c r="E58">
        <f t="shared" si="0"/>
        <v>540</v>
      </c>
      <c r="F58">
        <v>39940</v>
      </c>
    </row>
    <row r="59" spans="1:6">
      <c r="A59" t="s">
        <v>13</v>
      </c>
      <c r="B59" t="s">
        <v>10</v>
      </c>
      <c r="C59">
        <v>1.75</v>
      </c>
      <c r="D59">
        <v>72</v>
      </c>
      <c r="E59">
        <f t="shared" si="0"/>
        <v>126</v>
      </c>
      <c r="F59">
        <v>39940</v>
      </c>
    </row>
    <row r="60" spans="1:6">
      <c r="A60" t="s">
        <v>13</v>
      </c>
      <c r="B60" t="s">
        <v>11</v>
      </c>
      <c r="C60">
        <v>10</v>
      </c>
      <c r="D60">
        <v>19</v>
      </c>
      <c r="E60">
        <f t="shared" si="0"/>
        <v>190</v>
      </c>
      <c r="F60">
        <v>39940</v>
      </c>
    </row>
    <row r="61" spans="1:6">
      <c r="A61" t="s">
        <v>13</v>
      </c>
      <c r="B61" t="s">
        <v>12</v>
      </c>
      <c r="C61">
        <v>2.5</v>
      </c>
      <c r="D61">
        <v>112</v>
      </c>
      <c r="E61">
        <f t="shared" si="0"/>
        <v>280</v>
      </c>
      <c r="F61">
        <v>39940</v>
      </c>
    </row>
    <row r="62" spans="1:6">
      <c r="A62" t="s">
        <v>14</v>
      </c>
      <c r="B62" t="s">
        <v>6</v>
      </c>
      <c r="C62">
        <v>12</v>
      </c>
      <c r="D62">
        <v>45</v>
      </c>
      <c r="E62">
        <f t="shared" si="0"/>
        <v>540</v>
      </c>
      <c r="F62">
        <v>39940</v>
      </c>
    </row>
    <row r="63" spans="1:6">
      <c r="A63" t="s">
        <v>14</v>
      </c>
      <c r="B63" t="s">
        <v>7</v>
      </c>
      <c r="C63">
        <v>1.5</v>
      </c>
      <c r="D63">
        <v>122</v>
      </c>
      <c r="E63">
        <f t="shared" si="0"/>
        <v>183</v>
      </c>
      <c r="F63">
        <v>39940</v>
      </c>
    </row>
    <row r="64" spans="1:6">
      <c r="A64" t="s">
        <v>14</v>
      </c>
      <c r="B64" t="s">
        <v>8</v>
      </c>
      <c r="C64">
        <v>1.75</v>
      </c>
      <c r="D64">
        <v>65</v>
      </c>
      <c r="E64">
        <f t="shared" si="0"/>
        <v>113.75</v>
      </c>
      <c r="F64">
        <v>39940</v>
      </c>
    </row>
    <row r="65" spans="1:6">
      <c r="A65" t="s">
        <v>14</v>
      </c>
      <c r="B65" t="s">
        <v>9</v>
      </c>
      <c r="C65">
        <v>3</v>
      </c>
      <c r="D65">
        <v>120</v>
      </c>
      <c r="E65">
        <f t="shared" si="0"/>
        <v>360</v>
      </c>
      <c r="F65">
        <v>39940</v>
      </c>
    </row>
    <row r="66" spans="1:6">
      <c r="A66" t="s">
        <v>14</v>
      </c>
      <c r="B66" t="s">
        <v>10</v>
      </c>
      <c r="C66">
        <v>1.75</v>
      </c>
      <c r="D66">
        <v>30</v>
      </c>
      <c r="E66">
        <f t="shared" si="0"/>
        <v>52.5</v>
      </c>
      <c r="F66">
        <v>39940</v>
      </c>
    </row>
    <row r="67" spans="1:6">
      <c r="A67" t="s">
        <v>14</v>
      </c>
      <c r="B67" t="s">
        <v>11</v>
      </c>
      <c r="C67">
        <v>10</v>
      </c>
      <c r="D67">
        <v>11</v>
      </c>
      <c r="E67">
        <f t="shared" si="0"/>
        <v>110</v>
      </c>
      <c r="F67">
        <v>39940</v>
      </c>
    </row>
    <row r="68" spans="1:6">
      <c r="A68" t="s">
        <v>14</v>
      </c>
      <c r="B68" t="s">
        <v>12</v>
      </c>
      <c r="C68">
        <v>2.5</v>
      </c>
      <c r="D68">
        <v>85</v>
      </c>
      <c r="E68">
        <f t="shared" si="0"/>
        <v>212.5</v>
      </c>
      <c r="F68">
        <v>39940</v>
      </c>
    </row>
    <row r="69" spans="1:6">
      <c r="A69" t="s">
        <v>5</v>
      </c>
      <c r="B69" t="s">
        <v>6</v>
      </c>
      <c r="C69">
        <v>12</v>
      </c>
      <c r="D69">
        <v>55</v>
      </c>
      <c r="E69">
        <f t="shared" si="0"/>
        <v>660</v>
      </c>
      <c r="F69">
        <v>39941</v>
      </c>
    </row>
    <row r="70" spans="1:6">
      <c r="A70" t="s">
        <v>5</v>
      </c>
      <c r="B70" t="s">
        <v>7</v>
      </c>
      <c r="C70">
        <v>1.5</v>
      </c>
      <c r="D70">
        <v>148</v>
      </c>
      <c r="E70">
        <f t="shared" si="0"/>
        <v>222</v>
      </c>
      <c r="F70">
        <v>39941</v>
      </c>
    </row>
    <row r="71" spans="1:6">
      <c r="A71" t="s">
        <v>5</v>
      </c>
      <c r="B71" t="s">
        <v>8</v>
      </c>
      <c r="C71">
        <v>1.75</v>
      </c>
      <c r="D71">
        <v>48</v>
      </c>
      <c r="E71">
        <f t="shared" ref="E71:E131" si="1">C71*D71</f>
        <v>84</v>
      </c>
      <c r="F71">
        <v>39941</v>
      </c>
    </row>
    <row r="72" spans="1:6">
      <c r="A72" t="s">
        <v>5</v>
      </c>
      <c r="B72" t="s">
        <v>9</v>
      </c>
      <c r="C72">
        <v>3</v>
      </c>
      <c r="D72">
        <v>146</v>
      </c>
      <c r="E72">
        <f t="shared" si="1"/>
        <v>438</v>
      </c>
      <c r="F72">
        <v>39941</v>
      </c>
    </row>
    <row r="73" spans="1:6">
      <c r="A73" t="s">
        <v>5</v>
      </c>
      <c r="B73" t="s">
        <v>10</v>
      </c>
      <c r="C73">
        <v>1.75</v>
      </c>
      <c r="D73">
        <v>22</v>
      </c>
      <c r="E73">
        <f t="shared" si="1"/>
        <v>38.5</v>
      </c>
      <c r="F73">
        <v>39941</v>
      </c>
    </row>
    <row r="74" spans="1:6">
      <c r="A74" t="s">
        <v>5</v>
      </c>
      <c r="B74" t="s">
        <v>11</v>
      </c>
      <c r="C74">
        <v>10</v>
      </c>
      <c r="D74">
        <v>11</v>
      </c>
      <c r="E74">
        <f t="shared" si="1"/>
        <v>110</v>
      </c>
      <c r="F74">
        <v>39941</v>
      </c>
    </row>
    <row r="75" spans="1:6">
      <c r="A75" t="s">
        <v>5</v>
      </c>
      <c r="B75" t="s">
        <v>12</v>
      </c>
      <c r="C75">
        <v>2.5</v>
      </c>
      <c r="D75">
        <v>86</v>
      </c>
      <c r="E75">
        <f t="shared" si="1"/>
        <v>215</v>
      </c>
      <c r="F75">
        <v>39941</v>
      </c>
    </row>
    <row r="76" spans="1:6">
      <c r="A76" t="s">
        <v>13</v>
      </c>
      <c r="B76" t="s">
        <v>6</v>
      </c>
      <c r="C76">
        <v>12</v>
      </c>
      <c r="D76">
        <v>120</v>
      </c>
      <c r="E76">
        <f t="shared" si="1"/>
        <v>1440</v>
      </c>
      <c r="F76">
        <v>39941</v>
      </c>
    </row>
    <row r="77" spans="1:6">
      <c r="A77" t="s">
        <v>13</v>
      </c>
      <c r="B77" t="s">
        <v>7</v>
      </c>
      <c r="C77">
        <v>1.5</v>
      </c>
      <c r="D77">
        <v>177</v>
      </c>
      <c r="E77">
        <f t="shared" si="1"/>
        <v>265.5</v>
      </c>
      <c r="F77">
        <v>39941</v>
      </c>
    </row>
    <row r="78" spans="1:6">
      <c r="A78" t="s">
        <v>13</v>
      </c>
      <c r="B78" t="s">
        <v>8</v>
      </c>
      <c r="C78">
        <v>1.75</v>
      </c>
      <c r="D78">
        <v>82</v>
      </c>
      <c r="E78">
        <f t="shared" si="1"/>
        <v>143.5</v>
      </c>
      <c r="F78">
        <v>39941</v>
      </c>
    </row>
    <row r="79" spans="1:6">
      <c r="A79" t="s">
        <v>13</v>
      </c>
      <c r="B79" t="s">
        <v>9</v>
      </c>
      <c r="C79">
        <v>3</v>
      </c>
      <c r="D79">
        <v>196</v>
      </c>
      <c r="E79">
        <f t="shared" si="1"/>
        <v>588</v>
      </c>
      <c r="F79">
        <v>39941</v>
      </c>
    </row>
    <row r="80" spans="1:6">
      <c r="A80" t="s">
        <v>13</v>
      </c>
      <c r="B80" t="s">
        <v>10</v>
      </c>
      <c r="C80">
        <v>1.75</v>
      </c>
      <c r="D80">
        <v>94</v>
      </c>
      <c r="E80">
        <f t="shared" si="1"/>
        <v>164.5</v>
      </c>
      <c r="F80">
        <v>39941</v>
      </c>
    </row>
    <row r="81" spans="1:6">
      <c r="A81" t="s">
        <v>13</v>
      </c>
      <c r="B81" t="s">
        <v>11</v>
      </c>
      <c r="C81">
        <v>10</v>
      </c>
      <c r="D81">
        <v>29</v>
      </c>
      <c r="E81">
        <f t="shared" si="1"/>
        <v>290</v>
      </c>
      <c r="F81">
        <v>39941</v>
      </c>
    </row>
    <row r="82" spans="1:6">
      <c r="A82" t="s">
        <v>13</v>
      </c>
      <c r="B82" t="s">
        <v>12</v>
      </c>
      <c r="C82">
        <v>2.5</v>
      </c>
      <c r="D82">
        <v>144</v>
      </c>
      <c r="E82">
        <f t="shared" si="1"/>
        <v>360</v>
      </c>
      <c r="F82">
        <v>39941</v>
      </c>
    </row>
    <row r="83" spans="1:6">
      <c r="A83" t="s">
        <v>14</v>
      </c>
      <c r="B83" t="s">
        <v>6</v>
      </c>
      <c r="C83">
        <v>12</v>
      </c>
      <c r="D83">
        <v>50</v>
      </c>
      <c r="E83">
        <f t="shared" si="1"/>
        <v>600</v>
      </c>
      <c r="F83">
        <v>39941</v>
      </c>
    </row>
    <row r="84" spans="1:6">
      <c r="A84" t="s">
        <v>14</v>
      </c>
      <c r="B84" t="s">
        <v>7</v>
      </c>
      <c r="C84">
        <v>1.5</v>
      </c>
      <c r="D84">
        <v>135</v>
      </c>
      <c r="E84">
        <f t="shared" si="1"/>
        <v>202.5</v>
      </c>
      <c r="F84">
        <v>39941</v>
      </c>
    </row>
    <row r="85" spans="1:6">
      <c r="A85" t="s">
        <v>14</v>
      </c>
      <c r="B85" t="s">
        <v>8</v>
      </c>
      <c r="C85">
        <v>1.75</v>
      </c>
      <c r="D85">
        <v>40</v>
      </c>
      <c r="E85">
        <f t="shared" si="1"/>
        <v>70</v>
      </c>
      <c r="F85">
        <v>39941</v>
      </c>
    </row>
    <row r="86" spans="1:6">
      <c r="A86" t="s">
        <v>14</v>
      </c>
      <c r="B86" t="s">
        <v>9</v>
      </c>
      <c r="C86">
        <v>3</v>
      </c>
      <c r="D86">
        <v>154</v>
      </c>
      <c r="E86">
        <f t="shared" si="1"/>
        <v>462</v>
      </c>
      <c r="F86">
        <v>39941</v>
      </c>
    </row>
    <row r="87" spans="1:6">
      <c r="A87" t="s">
        <v>14</v>
      </c>
      <c r="B87" t="s">
        <v>10</v>
      </c>
      <c r="C87">
        <v>1.75</v>
      </c>
      <c r="D87">
        <v>62</v>
      </c>
      <c r="E87">
        <f t="shared" si="1"/>
        <v>108.5</v>
      </c>
      <c r="F87">
        <v>39941</v>
      </c>
    </row>
    <row r="88" spans="1:6">
      <c r="A88" t="s">
        <v>14</v>
      </c>
      <c r="B88" t="s">
        <v>11</v>
      </c>
      <c r="C88">
        <v>10</v>
      </c>
      <c r="D88">
        <v>13</v>
      </c>
      <c r="E88">
        <f t="shared" si="1"/>
        <v>130</v>
      </c>
      <c r="F88">
        <v>39941</v>
      </c>
    </row>
    <row r="89" spans="1:6">
      <c r="A89" t="s">
        <v>14</v>
      </c>
      <c r="B89" t="s">
        <v>12</v>
      </c>
      <c r="C89">
        <v>2.5</v>
      </c>
      <c r="D89">
        <v>96</v>
      </c>
      <c r="E89">
        <f t="shared" si="1"/>
        <v>240</v>
      </c>
      <c r="F89">
        <v>39941</v>
      </c>
    </row>
    <row r="90" spans="1:6">
      <c r="A90" t="s">
        <v>5</v>
      </c>
      <c r="B90" t="s">
        <v>6</v>
      </c>
      <c r="C90">
        <v>12</v>
      </c>
      <c r="D90">
        <v>70</v>
      </c>
      <c r="E90">
        <f t="shared" si="1"/>
        <v>840</v>
      </c>
      <c r="F90">
        <v>39942</v>
      </c>
    </row>
    <row r="91" spans="1:6">
      <c r="A91" t="s">
        <v>5</v>
      </c>
      <c r="B91" t="s">
        <v>7</v>
      </c>
      <c r="C91">
        <v>1.5</v>
      </c>
      <c r="D91">
        <v>160</v>
      </c>
      <c r="E91">
        <f t="shared" si="1"/>
        <v>240</v>
      </c>
      <c r="F91">
        <v>39942</v>
      </c>
    </row>
    <row r="92" spans="1:6">
      <c r="A92" t="s">
        <v>5</v>
      </c>
      <c r="B92" t="s">
        <v>8</v>
      </c>
      <c r="C92">
        <v>1.75</v>
      </c>
      <c r="D92">
        <v>60</v>
      </c>
      <c r="E92">
        <f t="shared" si="1"/>
        <v>105</v>
      </c>
      <c r="F92">
        <v>39942</v>
      </c>
    </row>
    <row r="93" spans="1:6">
      <c r="A93" t="s">
        <v>5</v>
      </c>
      <c r="B93" t="s">
        <v>9</v>
      </c>
      <c r="C93">
        <v>3</v>
      </c>
      <c r="D93">
        <v>122</v>
      </c>
      <c r="E93">
        <f t="shared" si="1"/>
        <v>366</v>
      </c>
      <c r="F93">
        <v>39942</v>
      </c>
    </row>
    <row r="94" spans="1:6">
      <c r="A94" t="s">
        <v>5</v>
      </c>
      <c r="B94" t="s">
        <v>10</v>
      </c>
      <c r="C94">
        <v>1.75</v>
      </c>
      <c r="D94">
        <v>32</v>
      </c>
      <c r="E94">
        <f t="shared" si="1"/>
        <v>56</v>
      </c>
      <c r="F94">
        <v>39942</v>
      </c>
    </row>
    <row r="95" spans="1:6">
      <c r="A95" t="s">
        <v>5</v>
      </c>
      <c r="B95" t="s">
        <v>11</v>
      </c>
      <c r="C95">
        <v>10</v>
      </c>
      <c r="D95">
        <v>13</v>
      </c>
      <c r="E95">
        <f t="shared" si="1"/>
        <v>130</v>
      </c>
      <c r="F95">
        <v>39942</v>
      </c>
    </row>
    <row r="96" spans="1:6">
      <c r="A96" t="s">
        <v>5</v>
      </c>
      <c r="B96" t="s">
        <v>12</v>
      </c>
      <c r="C96">
        <v>2.5</v>
      </c>
      <c r="D96">
        <v>74</v>
      </c>
      <c r="E96">
        <f t="shared" si="1"/>
        <v>185</v>
      </c>
      <c r="F96">
        <v>39942</v>
      </c>
    </row>
    <row r="97" spans="1:6">
      <c r="A97" t="s">
        <v>13</v>
      </c>
      <c r="B97" t="s">
        <v>6</v>
      </c>
      <c r="C97">
        <v>12</v>
      </c>
      <c r="D97">
        <v>150</v>
      </c>
      <c r="E97">
        <f t="shared" si="1"/>
        <v>1800</v>
      </c>
      <c r="F97">
        <v>39942</v>
      </c>
    </row>
    <row r="98" spans="1:6">
      <c r="A98" t="s">
        <v>13</v>
      </c>
      <c r="B98" t="s">
        <v>7</v>
      </c>
      <c r="C98">
        <v>1.5</v>
      </c>
      <c r="D98">
        <v>200</v>
      </c>
      <c r="E98">
        <f t="shared" si="1"/>
        <v>300</v>
      </c>
      <c r="F98">
        <v>39942</v>
      </c>
    </row>
    <row r="99" spans="1:6">
      <c r="A99" t="s">
        <v>13</v>
      </c>
      <c r="B99" t="s">
        <v>8</v>
      </c>
      <c r="C99">
        <v>1.75</v>
      </c>
      <c r="D99">
        <v>76</v>
      </c>
      <c r="E99">
        <f t="shared" si="1"/>
        <v>133</v>
      </c>
      <c r="F99">
        <v>39942</v>
      </c>
    </row>
    <row r="100" spans="1:6">
      <c r="A100" t="s">
        <v>13</v>
      </c>
      <c r="B100" t="s">
        <v>9</v>
      </c>
      <c r="C100">
        <v>3</v>
      </c>
      <c r="D100">
        <v>163</v>
      </c>
      <c r="E100">
        <f t="shared" si="1"/>
        <v>489</v>
      </c>
      <c r="F100">
        <v>39942</v>
      </c>
    </row>
    <row r="101" spans="1:6">
      <c r="A101" t="s">
        <v>13</v>
      </c>
      <c r="B101" t="s">
        <v>10</v>
      </c>
      <c r="C101">
        <v>1.75</v>
      </c>
      <c r="D101">
        <v>106</v>
      </c>
      <c r="E101">
        <f t="shared" si="1"/>
        <v>185.5</v>
      </c>
      <c r="F101">
        <v>39942</v>
      </c>
    </row>
    <row r="102" spans="1:6">
      <c r="A102" t="s">
        <v>13</v>
      </c>
      <c r="B102" t="s">
        <v>11</v>
      </c>
      <c r="C102">
        <v>10</v>
      </c>
      <c r="D102">
        <v>31</v>
      </c>
      <c r="E102">
        <f t="shared" si="1"/>
        <v>310</v>
      </c>
      <c r="F102">
        <v>39942</v>
      </c>
    </row>
    <row r="103" spans="1:6">
      <c r="A103" t="s">
        <v>13</v>
      </c>
      <c r="B103" t="s">
        <v>12</v>
      </c>
      <c r="C103">
        <v>2.5</v>
      </c>
      <c r="D103">
        <v>160</v>
      </c>
      <c r="E103">
        <f t="shared" si="1"/>
        <v>400</v>
      </c>
      <c r="F103">
        <v>39942</v>
      </c>
    </row>
    <row r="104" spans="1:6">
      <c r="A104" t="s">
        <v>14</v>
      </c>
      <c r="B104" t="s">
        <v>6</v>
      </c>
      <c r="C104">
        <v>12</v>
      </c>
      <c r="D104">
        <v>61</v>
      </c>
      <c r="E104">
        <f t="shared" si="1"/>
        <v>732</v>
      </c>
      <c r="F104">
        <v>39942</v>
      </c>
    </row>
    <row r="105" spans="1:6">
      <c r="A105" t="s">
        <v>14</v>
      </c>
      <c r="B105" t="s">
        <v>7</v>
      </c>
      <c r="C105">
        <v>1.5</v>
      </c>
      <c r="D105">
        <v>144</v>
      </c>
      <c r="E105">
        <f t="shared" si="1"/>
        <v>216</v>
      </c>
      <c r="F105">
        <v>39942</v>
      </c>
    </row>
    <row r="106" spans="1:6">
      <c r="A106" t="s">
        <v>14</v>
      </c>
      <c r="B106" t="s">
        <v>8</v>
      </c>
      <c r="C106">
        <v>1.75</v>
      </c>
      <c r="D106">
        <v>30</v>
      </c>
      <c r="E106">
        <f t="shared" si="1"/>
        <v>52.5</v>
      </c>
      <c r="F106">
        <v>39942</v>
      </c>
    </row>
    <row r="107" spans="1:6">
      <c r="A107" t="s">
        <v>14</v>
      </c>
      <c r="B107" t="s">
        <v>9</v>
      </c>
      <c r="C107">
        <v>3</v>
      </c>
      <c r="D107">
        <v>96</v>
      </c>
      <c r="E107">
        <f t="shared" si="1"/>
        <v>288</v>
      </c>
      <c r="F107">
        <v>39942</v>
      </c>
    </row>
    <row r="108" spans="1:6">
      <c r="A108" t="s">
        <v>14</v>
      </c>
      <c r="B108" t="s">
        <v>10</v>
      </c>
      <c r="C108">
        <v>1.75</v>
      </c>
      <c r="D108">
        <v>54</v>
      </c>
      <c r="E108">
        <f t="shared" si="1"/>
        <v>94.5</v>
      </c>
      <c r="F108">
        <v>39942</v>
      </c>
    </row>
    <row r="109" spans="1:6">
      <c r="A109" t="s">
        <v>14</v>
      </c>
      <c r="B109" t="s">
        <v>11</v>
      </c>
      <c r="C109">
        <v>10</v>
      </c>
      <c r="D109">
        <v>18</v>
      </c>
      <c r="E109">
        <f t="shared" si="1"/>
        <v>180</v>
      </c>
      <c r="F109">
        <v>39942</v>
      </c>
    </row>
    <row r="110" spans="1:6">
      <c r="A110" t="s">
        <v>14</v>
      </c>
      <c r="B110" t="s">
        <v>12</v>
      </c>
      <c r="C110">
        <v>2.5</v>
      </c>
      <c r="D110">
        <v>100</v>
      </c>
      <c r="E110">
        <f t="shared" si="1"/>
        <v>250</v>
      </c>
      <c r="F110">
        <v>39942</v>
      </c>
    </row>
    <row r="111" spans="1:6">
      <c r="A111" t="s">
        <v>5</v>
      </c>
      <c r="B111" t="s">
        <v>6</v>
      </c>
      <c r="C111">
        <v>12</v>
      </c>
      <c r="D111">
        <v>65</v>
      </c>
      <c r="E111">
        <f t="shared" si="1"/>
        <v>780</v>
      </c>
      <c r="F111">
        <v>39943</v>
      </c>
    </row>
    <row r="112" spans="1:6">
      <c r="A112" t="s">
        <v>5</v>
      </c>
      <c r="B112" t="s">
        <v>7</v>
      </c>
      <c r="C112">
        <v>1.5</v>
      </c>
      <c r="D112">
        <v>76</v>
      </c>
      <c r="E112">
        <f t="shared" si="1"/>
        <v>114</v>
      </c>
      <c r="F112">
        <v>39943</v>
      </c>
    </row>
    <row r="113" spans="1:6">
      <c r="A113" t="s">
        <v>5</v>
      </c>
      <c r="B113" t="s">
        <v>8</v>
      </c>
      <c r="C113">
        <v>1.75</v>
      </c>
      <c r="D113">
        <v>72</v>
      </c>
      <c r="E113">
        <f t="shared" si="1"/>
        <v>126</v>
      </c>
      <c r="F113">
        <v>39943</v>
      </c>
    </row>
    <row r="114" spans="1:6">
      <c r="A114" t="s">
        <v>5</v>
      </c>
      <c r="B114" t="s">
        <v>9</v>
      </c>
      <c r="C114">
        <v>3</v>
      </c>
      <c r="D114">
        <v>65</v>
      </c>
      <c r="E114">
        <f t="shared" si="1"/>
        <v>195</v>
      </c>
      <c r="F114">
        <v>39943</v>
      </c>
    </row>
    <row r="115" spans="1:6">
      <c r="A115" t="s">
        <v>5</v>
      </c>
      <c r="B115" t="s">
        <v>10</v>
      </c>
      <c r="C115">
        <v>1.75</v>
      </c>
      <c r="D115">
        <v>36</v>
      </c>
      <c r="E115">
        <f t="shared" si="1"/>
        <v>63</v>
      </c>
      <c r="F115">
        <v>39943</v>
      </c>
    </row>
    <row r="116" spans="1:6">
      <c r="A116" t="s">
        <v>5</v>
      </c>
      <c r="B116" t="s">
        <v>11</v>
      </c>
      <c r="C116">
        <v>10</v>
      </c>
      <c r="D116">
        <v>15</v>
      </c>
      <c r="E116">
        <f t="shared" si="1"/>
        <v>150</v>
      </c>
      <c r="F116">
        <v>39943</v>
      </c>
    </row>
    <row r="117" spans="1:6">
      <c r="A117" t="s">
        <v>5</v>
      </c>
      <c r="B117" t="s">
        <v>12</v>
      </c>
      <c r="C117">
        <v>2.5</v>
      </c>
      <c r="D117">
        <v>36</v>
      </c>
      <c r="E117">
        <f t="shared" si="1"/>
        <v>90</v>
      </c>
      <c r="F117">
        <v>39943</v>
      </c>
    </row>
    <row r="118" spans="1:6">
      <c r="A118" t="s">
        <v>13</v>
      </c>
      <c r="B118" t="s">
        <v>6</v>
      </c>
      <c r="C118">
        <v>12</v>
      </c>
      <c r="D118">
        <v>130</v>
      </c>
      <c r="E118">
        <f t="shared" si="1"/>
        <v>1560</v>
      </c>
      <c r="F118">
        <v>39943</v>
      </c>
    </row>
    <row r="119" spans="1:6">
      <c r="A119" t="s">
        <v>13</v>
      </c>
      <c r="B119" t="s">
        <v>7</v>
      </c>
      <c r="C119">
        <v>1.5</v>
      </c>
      <c r="D119">
        <v>130</v>
      </c>
      <c r="E119">
        <f t="shared" si="1"/>
        <v>195</v>
      </c>
      <c r="F119">
        <v>39943</v>
      </c>
    </row>
    <row r="120" spans="1:6">
      <c r="A120" t="s">
        <v>13</v>
      </c>
      <c r="B120" t="s">
        <v>8</v>
      </c>
      <c r="C120">
        <v>1.75</v>
      </c>
      <c r="D120">
        <v>56</v>
      </c>
      <c r="E120">
        <f t="shared" si="1"/>
        <v>98</v>
      </c>
      <c r="F120">
        <v>39943</v>
      </c>
    </row>
    <row r="121" spans="1:6">
      <c r="A121" t="s">
        <v>13</v>
      </c>
      <c r="B121" t="s">
        <v>9</v>
      </c>
      <c r="C121">
        <v>3</v>
      </c>
      <c r="D121">
        <v>112</v>
      </c>
      <c r="E121">
        <f t="shared" si="1"/>
        <v>336</v>
      </c>
      <c r="F121">
        <v>39943</v>
      </c>
    </row>
    <row r="122" spans="1:6">
      <c r="A122" t="s">
        <v>13</v>
      </c>
      <c r="B122" t="s">
        <v>10</v>
      </c>
      <c r="C122">
        <v>1.75</v>
      </c>
      <c r="D122">
        <v>86</v>
      </c>
      <c r="E122">
        <f t="shared" si="1"/>
        <v>150.5</v>
      </c>
      <c r="F122">
        <v>39943</v>
      </c>
    </row>
    <row r="123" spans="1:6">
      <c r="A123" t="s">
        <v>13</v>
      </c>
      <c r="B123" t="s">
        <v>11</v>
      </c>
      <c r="C123">
        <v>10</v>
      </c>
      <c r="D123">
        <v>44</v>
      </c>
      <c r="E123">
        <f t="shared" si="1"/>
        <v>440</v>
      </c>
      <c r="F123">
        <v>39943</v>
      </c>
    </row>
    <row r="124" spans="1:6">
      <c r="A124" t="s">
        <v>13</v>
      </c>
      <c r="B124" t="s">
        <v>12</v>
      </c>
      <c r="C124">
        <v>2.5</v>
      </c>
      <c r="D124">
        <v>64</v>
      </c>
      <c r="E124">
        <f t="shared" si="1"/>
        <v>160</v>
      </c>
      <c r="F124">
        <v>39943</v>
      </c>
    </row>
    <row r="125" spans="1:6">
      <c r="A125" t="s">
        <v>14</v>
      </c>
      <c r="B125" t="s">
        <v>6</v>
      </c>
      <c r="C125">
        <v>12</v>
      </c>
      <c r="D125">
        <v>80</v>
      </c>
      <c r="E125">
        <f t="shared" si="1"/>
        <v>960</v>
      </c>
      <c r="F125">
        <v>39943</v>
      </c>
    </row>
    <row r="126" spans="1:6">
      <c r="A126" t="s">
        <v>14</v>
      </c>
      <c r="B126" t="s">
        <v>7</v>
      </c>
      <c r="C126">
        <v>1.5</v>
      </c>
      <c r="D126">
        <v>64</v>
      </c>
      <c r="E126">
        <f t="shared" si="1"/>
        <v>96</v>
      </c>
      <c r="F126">
        <v>39943</v>
      </c>
    </row>
    <row r="127" spans="1:6">
      <c r="A127" t="s">
        <v>14</v>
      </c>
      <c r="B127" t="s">
        <v>8</v>
      </c>
      <c r="C127">
        <v>1.75</v>
      </c>
      <c r="D127">
        <v>20</v>
      </c>
      <c r="E127">
        <f t="shared" si="1"/>
        <v>35</v>
      </c>
      <c r="F127">
        <v>39943</v>
      </c>
    </row>
    <row r="128" spans="1:6">
      <c r="A128" t="s">
        <v>14</v>
      </c>
      <c r="B128" t="s">
        <v>9</v>
      </c>
      <c r="C128">
        <v>3</v>
      </c>
      <c r="D128">
        <v>77</v>
      </c>
      <c r="E128">
        <f t="shared" si="1"/>
        <v>231</v>
      </c>
      <c r="F128">
        <v>39943</v>
      </c>
    </row>
    <row r="129" spans="1:6">
      <c r="A129" t="s">
        <v>14</v>
      </c>
      <c r="B129" t="s">
        <v>10</v>
      </c>
      <c r="C129">
        <v>1.75</v>
      </c>
      <c r="D129">
        <v>40</v>
      </c>
      <c r="E129">
        <f t="shared" si="1"/>
        <v>70</v>
      </c>
      <c r="F129">
        <v>39943</v>
      </c>
    </row>
    <row r="130" spans="1:6">
      <c r="A130" t="s">
        <v>14</v>
      </c>
      <c r="B130" t="s">
        <v>11</v>
      </c>
      <c r="C130">
        <v>10</v>
      </c>
      <c r="D130">
        <v>22</v>
      </c>
      <c r="E130">
        <f t="shared" si="1"/>
        <v>220</v>
      </c>
      <c r="F130">
        <v>39943</v>
      </c>
    </row>
    <row r="131" spans="1:6">
      <c r="A131" t="s">
        <v>14</v>
      </c>
      <c r="B131" t="s">
        <v>12</v>
      </c>
      <c r="C131">
        <v>2.5</v>
      </c>
      <c r="D131">
        <v>33</v>
      </c>
      <c r="E131">
        <f t="shared" si="1"/>
        <v>82.5</v>
      </c>
      <c r="F131">
        <v>39943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64E8-F4EA-4F5B-8BBD-FFA8615ABB2C}">
  <sheetPr codeName="Sheet11">
    <tabColor theme="6"/>
  </sheetPr>
  <dimension ref="A1:G25"/>
  <sheetViews>
    <sheetView topLeftCell="A7" zoomScale="130" zoomScaleNormal="130" zoomScalePageLayoutView="200" workbookViewId="0">
      <selection activeCell="A12" sqref="A12"/>
    </sheetView>
  </sheetViews>
  <sheetFormatPr defaultColWidth="8.86328125" defaultRowHeight="12.75"/>
  <cols>
    <col min="1" max="1" width="15.19921875" bestFit="1" customWidth="1"/>
    <col min="2" max="2" width="16.33203125" bestFit="1" customWidth="1"/>
    <col min="3" max="4" width="5.73046875" bestFit="1" customWidth="1"/>
    <col min="5" max="5" width="7.73046875" bestFit="1" customWidth="1"/>
    <col min="6" max="6" width="5.73046875" bestFit="1" customWidth="1"/>
    <col min="7" max="7" width="4.73046875" bestFit="1" customWidth="1"/>
    <col min="8" max="8" width="11.73046875" bestFit="1" customWidth="1"/>
    <col min="9" max="9" width="13.1328125" bestFit="1" customWidth="1"/>
    <col min="10" max="10" width="11.73046875" bestFit="1" customWidth="1"/>
    <col min="11" max="11" width="11.73046875" customWidth="1"/>
    <col min="12" max="12" width="11.73046875" bestFit="1" customWidth="1"/>
  </cols>
  <sheetData>
    <row r="1" spans="1:7">
      <c r="D1" t="s">
        <v>1308</v>
      </c>
    </row>
    <row r="2" spans="1:7">
      <c r="D2" t="s">
        <v>1309</v>
      </c>
    </row>
    <row r="3" spans="1:7">
      <c r="D3" t="s">
        <v>1353</v>
      </c>
    </row>
    <row r="8" spans="1:7" ht="15.4">
      <c r="A8" s="16" t="s">
        <v>1310</v>
      </c>
    </row>
    <row r="10" spans="1:7">
      <c r="A10" s="1" t="s">
        <v>1278</v>
      </c>
      <c r="B10" s="1" t="s">
        <v>1166</v>
      </c>
    </row>
    <row r="11" spans="1:7">
      <c r="A11" s="1" t="s">
        <v>1167</v>
      </c>
      <c r="B11" s="15" t="s">
        <v>1358</v>
      </c>
      <c r="C11" s="15" t="s">
        <v>1359</v>
      </c>
      <c r="D11" s="15" t="s">
        <v>1360</v>
      </c>
      <c r="E11" s="15" t="s">
        <v>1361</v>
      </c>
      <c r="F11" s="15" t="s">
        <v>1362</v>
      </c>
      <c r="G11" s="15" t="s">
        <v>1363</v>
      </c>
    </row>
    <row r="12" spans="1:7">
      <c r="A12" s="2" t="s">
        <v>1326</v>
      </c>
      <c r="D12">
        <v>680</v>
      </c>
      <c r="E12">
        <v>4327.5</v>
      </c>
      <c r="G12">
        <v>3000</v>
      </c>
    </row>
    <row r="13" spans="1:7">
      <c r="A13" s="2" t="s">
        <v>1327</v>
      </c>
      <c r="D13">
        <v>13800</v>
      </c>
      <c r="E13">
        <v>1402.5</v>
      </c>
      <c r="G13">
        <v>230</v>
      </c>
    </row>
    <row r="14" spans="1:7">
      <c r="A14" s="2" t="s">
        <v>1329</v>
      </c>
      <c r="E14">
        <v>1375.25</v>
      </c>
      <c r="G14">
        <v>2250</v>
      </c>
    </row>
    <row r="15" spans="1:7">
      <c r="A15" s="2" t="s">
        <v>1330</v>
      </c>
      <c r="B15">
        <v>1505</v>
      </c>
    </row>
    <row r="16" spans="1:7">
      <c r="A16" s="2" t="s">
        <v>1331</v>
      </c>
      <c r="E16">
        <v>200</v>
      </c>
      <c r="G16">
        <v>660</v>
      </c>
    </row>
    <row r="17" spans="1:7">
      <c r="A17" s="2" t="s">
        <v>1332</v>
      </c>
      <c r="B17">
        <v>865</v>
      </c>
      <c r="C17">
        <v>184</v>
      </c>
      <c r="E17">
        <v>3520</v>
      </c>
    </row>
    <row r="18" spans="1:7">
      <c r="A18" s="2" t="s">
        <v>1325</v>
      </c>
      <c r="C18">
        <v>127.5</v>
      </c>
      <c r="E18">
        <v>1218</v>
      </c>
      <c r="G18">
        <v>1560</v>
      </c>
    </row>
    <row r="19" spans="1:7">
      <c r="A19" s="2" t="s">
        <v>1333</v>
      </c>
      <c r="B19">
        <v>276</v>
      </c>
      <c r="D19">
        <v>1275</v>
      </c>
      <c r="E19">
        <v>2622</v>
      </c>
      <c r="G19">
        <v>510</v>
      </c>
    </row>
    <row r="20" spans="1:7">
      <c r="A20" s="2" t="s">
        <v>1334</v>
      </c>
      <c r="C20">
        <v>1930</v>
      </c>
      <c r="E20">
        <v>620</v>
      </c>
    </row>
    <row r="21" spans="1:7">
      <c r="A21" s="2" t="s">
        <v>1328</v>
      </c>
      <c r="B21">
        <v>1190</v>
      </c>
    </row>
    <row r="22" spans="1:7">
      <c r="A22" s="2" t="s">
        <v>1335</v>
      </c>
      <c r="D22">
        <v>1160</v>
      </c>
      <c r="F22">
        <v>252.5</v>
      </c>
    </row>
    <row r="23" spans="1:7">
      <c r="A23" s="2" t="s">
        <v>1336</v>
      </c>
      <c r="F23">
        <v>736</v>
      </c>
    </row>
    <row r="24" spans="1:7">
      <c r="A24" s="2" t="s">
        <v>1337</v>
      </c>
      <c r="F24">
        <v>800</v>
      </c>
    </row>
    <row r="25" spans="1:7">
      <c r="A25" s="2" t="s">
        <v>1338</v>
      </c>
      <c r="E25">
        <v>3690</v>
      </c>
      <c r="G25">
        <v>96.5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9A90B-FBC5-4773-8848-E4C6F3E73D98}">
  <sheetPr codeName="Sheet12">
    <tabColor theme="6"/>
  </sheetPr>
  <dimension ref="A2:I143"/>
  <sheetViews>
    <sheetView zoomScale="120" zoomScaleNormal="120" zoomScalePageLayoutView="200" workbookViewId="0">
      <selection activeCell="I14" sqref="I14"/>
    </sheetView>
  </sheetViews>
  <sheetFormatPr defaultColWidth="8.86328125" defaultRowHeight="12.75"/>
  <cols>
    <col min="1" max="1" width="29" customWidth="1"/>
    <col min="2" max="2" width="29.265625" bestFit="1" customWidth="1"/>
    <col min="3" max="3" width="14.265625" bestFit="1" customWidth="1"/>
    <col min="4" max="4" width="11.1328125" bestFit="1" customWidth="1"/>
    <col min="5" max="6" width="13.1328125" bestFit="1" customWidth="1"/>
    <col min="7" max="7" width="29.265625" bestFit="1" customWidth="1"/>
    <col min="8" max="8" width="14.53125" bestFit="1" customWidth="1"/>
    <col min="9" max="9" width="6.265625" bestFit="1" customWidth="1"/>
    <col min="10" max="10" width="12.73046875" bestFit="1" customWidth="1"/>
    <col min="11" max="16" width="24.265625" bestFit="1" customWidth="1"/>
    <col min="17" max="17" width="11.73046875" bestFit="1" customWidth="1"/>
    <col min="18" max="43" width="16.3984375" bestFit="1" customWidth="1"/>
    <col min="44" max="44" width="20.73046875" bestFit="1" customWidth="1"/>
    <col min="45" max="45" width="21.59765625" bestFit="1" customWidth="1"/>
    <col min="46" max="46" width="17.3984375" bestFit="1" customWidth="1"/>
  </cols>
  <sheetData>
    <row r="2" spans="1:9">
      <c r="C2" t="s">
        <v>1356</v>
      </c>
    </row>
    <row r="3" spans="1:9">
      <c r="C3" t="s">
        <v>1357</v>
      </c>
    </row>
    <row r="4" spans="1:9">
      <c r="C4" t="s">
        <v>1375</v>
      </c>
    </row>
    <row r="8" spans="1:9" ht="15.4">
      <c r="A8" s="16" t="s">
        <v>1355</v>
      </c>
    </row>
    <row r="11" spans="1:9">
      <c r="A11" s="1" t="s">
        <v>1181</v>
      </c>
      <c r="B11" s="1" t="s">
        <v>1180</v>
      </c>
      <c r="C11" t="s">
        <v>1377</v>
      </c>
      <c r="D11" t="s">
        <v>1376</v>
      </c>
      <c r="F11" s="1" t="s">
        <v>1181</v>
      </c>
      <c r="G11" s="1" t="s">
        <v>1180</v>
      </c>
      <c r="H11" s="1" t="s">
        <v>1380</v>
      </c>
    </row>
    <row r="12" spans="1:9">
      <c r="A12" t="s">
        <v>1326</v>
      </c>
      <c r="C12">
        <v>6</v>
      </c>
      <c r="D12" s="17">
        <v>8007.5</v>
      </c>
      <c r="F12" t="s">
        <v>1326</v>
      </c>
      <c r="I12" s="17"/>
    </row>
    <row r="13" spans="1:9">
      <c r="B13" t="s">
        <v>1192</v>
      </c>
      <c r="C13">
        <v>1</v>
      </c>
      <c r="D13" s="17">
        <v>4200</v>
      </c>
      <c r="H13" t="s">
        <v>1378</v>
      </c>
      <c r="I13" s="17">
        <v>127.5</v>
      </c>
    </row>
    <row r="14" spans="1:9">
      <c r="B14" t="s">
        <v>1186</v>
      </c>
      <c r="C14">
        <v>2</v>
      </c>
      <c r="D14" s="17">
        <v>637.5</v>
      </c>
      <c r="H14" t="s">
        <v>1354</v>
      </c>
      <c r="I14" s="17">
        <v>1334.5833333333333</v>
      </c>
    </row>
    <row r="15" spans="1:9">
      <c r="B15" t="s">
        <v>1189</v>
      </c>
      <c r="C15">
        <v>2</v>
      </c>
      <c r="D15" s="17">
        <v>2490</v>
      </c>
      <c r="H15" t="s">
        <v>1379</v>
      </c>
      <c r="I15">
        <v>4200</v>
      </c>
    </row>
    <row r="16" spans="1:9">
      <c r="B16" t="s">
        <v>1212</v>
      </c>
      <c r="C16">
        <v>1</v>
      </c>
      <c r="D16" s="17">
        <v>680</v>
      </c>
      <c r="F16" t="s">
        <v>1327</v>
      </c>
      <c r="I16" s="17"/>
    </row>
    <row r="17" spans="1:9">
      <c r="A17" t="s">
        <v>1327</v>
      </c>
      <c r="C17">
        <v>4</v>
      </c>
      <c r="D17" s="17">
        <v>15432.5</v>
      </c>
      <c r="H17" t="s">
        <v>1378</v>
      </c>
      <c r="I17" s="17">
        <v>230</v>
      </c>
    </row>
    <row r="18" spans="1:9">
      <c r="B18" t="s">
        <v>1192</v>
      </c>
      <c r="C18">
        <v>2</v>
      </c>
      <c r="D18" s="17">
        <v>14030</v>
      </c>
      <c r="H18" t="s">
        <v>1354</v>
      </c>
      <c r="I18" s="17">
        <v>3858.125</v>
      </c>
    </row>
    <row r="19" spans="1:9">
      <c r="B19" t="s">
        <v>1196</v>
      </c>
      <c r="C19">
        <v>1</v>
      </c>
      <c r="D19" s="17">
        <v>920</v>
      </c>
      <c r="H19" t="s">
        <v>1379</v>
      </c>
      <c r="I19">
        <v>13800</v>
      </c>
    </row>
    <row r="20" spans="1:9">
      <c r="B20" t="s">
        <v>1195</v>
      </c>
      <c r="C20">
        <v>1</v>
      </c>
      <c r="D20" s="17">
        <v>482.5</v>
      </c>
      <c r="F20" t="s">
        <v>1329</v>
      </c>
      <c r="I20" s="17"/>
    </row>
    <row r="21" spans="1:9">
      <c r="A21" t="s">
        <v>1329</v>
      </c>
      <c r="C21">
        <v>4</v>
      </c>
      <c r="D21" s="17">
        <v>3625.25</v>
      </c>
      <c r="H21" t="s">
        <v>1378</v>
      </c>
      <c r="I21" s="17">
        <v>289.5</v>
      </c>
    </row>
    <row r="22" spans="1:9">
      <c r="B22" t="s">
        <v>1196</v>
      </c>
      <c r="C22">
        <v>1</v>
      </c>
      <c r="D22" s="17">
        <v>552</v>
      </c>
      <c r="H22" t="s">
        <v>1354</v>
      </c>
      <c r="I22" s="17">
        <v>906.3125</v>
      </c>
    </row>
    <row r="23" spans="1:9">
      <c r="B23" t="s">
        <v>1197</v>
      </c>
      <c r="C23">
        <v>1</v>
      </c>
      <c r="D23" s="17">
        <v>2250</v>
      </c>
      <c r="H23" t="s">
        <v>1379</v>
      </c>
      <c r="I23">
        <v>2250</v>
      </c>
    </row>
    <row r="24" spans="1:9">
      <c r="B24" t="s">
        <v>1194</v>
      </c>
      <c r="C24">
        <v>1</v>
      </c>
      <c r="D24" s="17">
        <v>533.75</v>
      </c>
      <c r="F24" t="s">
        <v>1330</v>
      </c>
      <c r="I24" s="17"/>
    </row>
    <row r="25" spans="1:9">
      <c r="B25" t="s">
        <v>1195</v>
      </c>
      <c r="C25">
        <v>1</v>
      </c>
      <c r="D25" s="17">
        <v>289.5</v>
      </c>
      <c r="H25" t="s">
        <v>1378</v>
      </c>
      <c r="I25" s="17">
        <v>105</v>
      </c>
    </row>
    <row r="26" spans="1:9">
      <c r="A26" t="s">
        <v>1330</v>
      </c>
      <c r="C26">
        <v>2</v>
      </c>
      <c r="D26" s="17">
        <v>1505</v>
      </c>
      <c r="H26" t="s">
        <v>1354</v>
      </c>
      <c r="I26" s="17">
        <v>752.5</v>
      </c>
    </row>
    <row r="27" spans="1:9">
      <c r="B27" t="s">
        <v>1192</v>
      </c>
      <c r="C27">
        <v>1</v>
      </c>
      <c r="D27" s="17">
        <v>1400</v>
      </c>
      <c r="H27" t="s">
        <v>1379</v>
      </c>
      <c r="I27">
        <v>1400</v>
      </c>
    </row>
    <row r="28" spans="1:9">
      <c r="B28" t="s">
        <v>1189</v>
      </c>
      <c r="C28">
        <v>1</v>
      </c>
      <c r="D28" s="17">
        <v>105</v>
      </c>
      <c r="F28" t="s">
        <v>1331</v>
      </c>
      <c r="I28" s="17"/>
    </row>
    <row r="29" spans="1:9">
      <c r="A29" t="s">
        <v>1331</v>
      </c>
      <c r="C29">
        <v>2</v>
      </c>
      <c r="D29" s="17">
        <v>860</v>
      </c>
      <c r="H29" t="s">
        <v>1378</v>
      </c>
      <c r="I29" s="17">
        <v>200</v>
      </c>
    </row>
    <row r="30" spans="1:9">
      <c r="B30" t="s">
        <v>1203</v>
      </c>
      <c r="C30">
        <v>1</v>
      </c>
      <c r="D30" s="17">
        <v>200</v>
      </c>
      <c r="H30" t="s">
        <v>1354</v>
      </c>
      <c r="I30" s="17">
        <v>430</v>
      </c>
    </row>
    <row r="31" spans="1:9">
      <c r="B31" t="s">
        <v>1201</v>
      </c>
      <c r="C31">
        <v>1</v>
      </c>
      <c r="D31" s="17">
        <v>660</v>
      </c>
      <c r="H31" t="s">
        <v>1379</v>
      </c>
      <c r="I31">
        <v>660</v>
      </c>
    </row>
    <row r="32" spans="1:9">
      <c r="A32" t="s">
        <v>1332</v>
      </c>
      <c r="C32">
        <v>6</v>
      </c>
      <c r="D32" s="17">
        <v>4569</v>
      </c>
      <c r="F32" t="s">
        <v>1332</v>
      </c>
      <c r="I32" s="17"/>
    </row>
    <row r="33" spans="1:9">
      <c r="B33" t="s">
        <v>1203</v>
      </c>
      <c r="C33">
        <v>1</v>
      </c>
      <c r="D33" s="17">
        <v>184</v>
      </c>
      <c r="G33" t="s">
        <v>1203</v>
      </c>
      <c r="I33" s="17"/>
    </row>
    <row r="34" spans="1:9">
      <c r="B34" t="s">
        <v>1189</v>
      </c>
      <c r="C34">
        <v>3</v>
      </c>
      <c r="D34" s="17">
        <v>865</v>
      </c>
      <c r="H34" t="s">
        <v>1378</v>
      </c>
      <c r="I34" s="17">
        <v>184</v>
      </c>
    </row>
    <row r="35" spans="1:9">
      <c r="B35" t="s">
        <v>1210</v>
      </c>
      <c r="C35">
        <v>1</v>
      </c>
      <c r="D35" s="17">
        <v>280</v>
      </c>
      <c r="H35" t="s">
        <v>1354</v>
      </c>
      <c r="I35" s="17">
        <v>184</v>
      </c>
    </row>
    <row r="36" spans="1:9">
      <c r="B36" t="s">
        <v>1197</v>
      </c>
      <c r="C36">
        <v>1</v>
      </c>
      <c r="D36" s="17">
        <v>3240</v>
      </c>
      <c r="H36" t="s">
        <v>1379</v>
      </c>
      <c r="I36">
        <v>184</v>
      </c>
    </row>
    <row r="37" spans="1:9">
      <c r="A37" t="s">
        <v>1325</v>
      </c>
      <c r="C37">
        <v>3</v>
      </c>
      <c r="D37" s="17">
        <v>2905.5</v>
      </c>
      <c r="G37" t="s">
        <v>1189</v>
      </c>
      <c r="I37" s="17"/>
    </row>
    <row r="38" spans="1:9">
      <c r="B38" t="s">
        <v>1192</v>
      </c>
      <c r="C38">
        <v>1</v>
      </c>
      <c r="D38" s="17">
        <v>1218</v>
      </c>
      <c r="H38" t="s">
        <v>1378</v>
      </c>
      <c r="I38" s="17">
        <v>35</v>
      </c>
    </row>
    <row r="39" spans="1:9">
      <c r="B39" t="s">
        <v>1186</v>
      </c>
      <c r="C39">
        <v>1</v>
      </c>
      <c r="D39" s="17">
        <v>127.5</v>
      </c>
      <c r="H39" t="s">
        <v>1354</v>
      </c>
      <c r="I39" s="17">
        <v>288.33333333333331</v>
      </c>
    </row>
    <row r="40" spans="1:9">
      <c r="B40" t="s">
        <v>1220</v>
      </c>
      <c r="C40">
        <v>1</v>
      </c>
      <c r="D40" s="17">
        <v>1560</v>
      </c>
      <c r="H40" t="s">
        <v>1379</v>
      </c>
      <c r="I40">
        <v>530</v>
      </c>
    </row>
    <row r="41" spans="1:9">
      <c r="A41" t="s">
        <v>1333</v>
      </c>
      <c r="C41">
        <v>6</v>
      </c>
      <c r="D41" s="17">
        <v>4683</v>
      </c>
      <c r="G41" t="s">
        <v>1210</v>
      </c>
      <c r="I41" s="17"/>
    </row>
    <row r="42" spans="1:9">
      <c r="B42" t="s">
        <v>1203</v>
      </c>
      <c r="C42">
        <v>2</v>
      </c>
      <c r="D42" s="17">
        <v>506</v>
      </c>
      <c r="H42" t="s">
        <v>1378</v>
      </c>
      <c r="I42" s="17">
        <v>280</v>
      </c>
    </row>
    <row r="43" spans="1:9">
      <c r="B43" t="s">
        <v>1186</v>
      </c>
      <c r="C43">
        <v>2</v>
      </c>
      <c r="D43" s="17">
        <v>1785</v>
      </c>
      <c r="H43" t="s">
        <v>1354</v>
      </c>
      <c r="I43" s="17">
        <v>280</v>
      </c>
    </row>
    <row r="44" spans="1:9">
      <c r="B44" t="s">
        <v>1218</v>
      </c>
      <c r="C44">
        <v>1</v>
      </c>
      <c r="D44" s="17">
        <v>1392</v>
      </c>
      <c r="H44" t="s">
        <v>1379</v>
      </c>
      <c r="I44">
        <v>280</v>
      </c>
    </row>
    <row r="45" spans="1:9">
      <c r="B45" t="s">
        <v>1212</v>
      </c>
      <c r="C45">
        <v>1</v>
      </c>
      <c r="D45" s="17">
        <v>1000</v>
      </c>
      <c r="G45" t="s">
        <v>1197</v>
      </c>
      <c r="I45" s="17"/>
    </row>
    <row r="46" spans="1:9">
      <c r="A46" t="s">
        <v>1334</v>
      </c>
      <c r="C46">
        <v>3</v>
      </c>
      <c r="D46" s="17">
        <v>2550</v>
      </c>
      <c r="H46" t="s">
        <v>1378</v>
      </c>
      <c r="I46" s="17">
        <v>3240</v>
      </c>
    </row>
    <row r="47" spans="1:9">
      <c r="B47" t="s">
        <v>1201</v>
      </c>
      <c r="C47">
        <v>1</v>
      </c>
      <c r="D47" s="17">
        <v>500</v>
      </c>
      <c r="H47" t="s">
        <v>1354</v>
      </c>
      <c r="I47" s="17">
        <v>3240</v>
      </c>
    </row>
    <row r="48" spans="1:9">
      <c r="B48" t="s">
        <v>1212</v>
      </c>
      <c r="C48">
        <v>1</v>
      </c>
      <c r="D48" s="17">
        <v>120</v>
      </c>
      <c r="H48" t="s">
        <v>1379</v>
      </c>
      <c r="I48">
        <v>3240</v>
      </c>
    </row>
    <row r="49" spans="1:9">
      <c r="B49" t="s">
        <v>1195</v>
      </c>
      <c r="C49">
        <v>1</v>
      </c>
      <c r="D49" s="17">
        <v>1930</v>
      </c>
      <c r="F49" t="s">
        <v>1325</v>
      </c>
      <c r="I49" s="17"/>
    </row>
    <row r="50" spans="1:9">
      <c r="A50" t="s">
        <v>1328</v>
      </c>
      <c r="C50">
        <v>2</v>
      </c>
      <c r="D50" s="17">
        <v>1190</v>
      </c>
      <c r="G50" t="s">
        <v>1192</v>
      </c>
      <c r="I50" s="17"/>
    </row>
    <row r="51" spans="1:9">
      <c r="B51" t="s">
        <v>1192</v>
      </c>
      <c r="C51">
        <v>2</v>
      </c>
      <c r="D51" s="17">
        <v>1190</v>
      </c>
      <c r="H51" t="s">
        <v>1378</v>
      </c>
      <c r="I51" s="17">
        <v>1218</v>
      </c>
    </row>
    <row r="52" spans="1:9">
      <c r="A52" t="s">
        <v>1335</v>
      </c>
      <c r="C52">
        <v>6</v>
      </c>
      <c r="D52" s="17">
        <v>1412.5</v>
      </c>
      <c r="H52" t="s">
        <v>1354</v>
      </c>
      <c r="I52" s="17">
        <v>1218</v>
      </c>
    </row>
    <row r="53" spans="1:9">
      <c r="B53" t="s">
        <v>1203</v>
      </c>
      <c r="C53">
        <v>1</v>
      </c>
      <c r="D53" s="17">
        <v>92</v>
      </c>
      <c r="H53" t="s">
        <v>1379</v>
      </c>
      <c r="I53">
        <v>1218</v>
      </c>
    </row>
    <row r="54" spans="1:9">
      <c r="B54" t="s">
        <v>1192</v>
      </c>
      <c r="C54">
        <v>1</v>
      </c>
      <c r="D54" s="17">
        <v>598</v>
      </c>
      <c r="G54" t="s">
        <v>1186</v>
      </c>
      <c r="I54" s="17"/>
    </row>
    <row r="55" spans="1:9">
      <c r="B55" t="s">
        <v>1201</v>
      </c>
      <c r="C55">
        <v>1</v>
      </c>
      <c r="D55" s="17">
        <v>220</v>
      </c>
      <c r="H55" t="s">
        <v>1378</v>
      </c>
      <c r="I55" s="17">
        <v>127.5</v>
      </c>
    </row>
    <row r="56" spans="1:9">
      <c r="B56" t="s">
        <v>1189</v>
      </c>
      <c r="C56">
        <v>2</v>
      </c>
      <c r="D56" s="17">
        <v>252.5</v>
      </c>
      <c r="H56" t="s">
        <v>1354</v>
      </c>
      <c r="I56" s="17">
        <v>127.5</v>
      </c>
    </row>
    <row r="57" spans="1:9">
      <c r="B57" t="s">
        <v>1197</v>
      </c>
      <c r="C57">
        <v>1</v>
      </c>
      <c r="D57" s="17">
        <v>250</v>
      </c>
      <c r="H57" t="s">
        <v>1379</v>
      </c>
      <c r="I57">
        <v>127.5</v>
      </c>
    </row>
    <row r="58" spans="1:9">
      <c r="A58" t="s">
        <v>1336</v>
      </c>
      <c r="C58">
        <v>1</v>
      </c>
      <c r="D58" s="17">
        <v>736</v>
      </c>
      <c r="G58" t="s">
        <v>1220</v>
      </c>
      <c r="I58" s="17"/>
    </row>
    <row r="59" spans="1:9">
      <c r="B59" t="s">
        <v>1196</v>
      </c>
      <c r="C59">
        <v>1</v>
      </c>
      <c r="D59" s="17">
        <v>736</v>
      </c>
      <c r="H59" t="s">
        <v>1378</v>
      </c>
      <c r="I59" s="17">
        <v>1560</v>
      </c>
    </row>
    <row r="60" spans="1:9">
      <c r="A60" t="s">
        <v>1337</v>
      </c>
      <c r="C60">
        <v>1</v>
      </c>
      <c r="D60" s="17">
        <v>800</v>
      </c>
      <c r="H60" t="s">
        <v>1354</v>
      </c>
      <c r="I60" s="17">
        <v>1560</v>
      </c>
    </row>
    <row r="61" spans="1:9">
      <c r="B61" t="s">
        <v>1212</v>
      </c>
      <c r="C61">
        <v>1</v>
      </c>
      <c r="D61" s="17">
        <v>800</v>
      </c>
      <c r="H61" t="s">
        <v>1379</v>
      </c>
      <c r="I61">
        <v>1560</v>
      </c>
    </row>
    <row r="62" spans="1:9">
      <c r="A62" t="s">
        <v>1338</v>
      </c>
      <c r="C62">
        <v>3</v>
      </c>
      <c r="D62" s="17">
        <v>3786.5</v>
      </c>
      <c r="F62" t="s">
        <v>1333</v>
      </c>
      <c r="I62" s="17"/>
    </row>
    <row r="63" spans="1:9">
      <c r="B63" t="s">
        <v>1218</v>
      </c>
      <c r="C63">
        <v>1</v>
      </c>
      <c r="D63" s="17">
        <v>1740</v>
      </c>
      <c r="G63" t="s">
        <v>1203</v>
      </c>
      <c r="I63" s="17"/>
    </row>
    <row r="64" spans="1:9">
      <c r="B64" t="s">
        <v>1226</v>
      </c>
      <c r="C64">
        <v>1</v>
      </c>
      <c r="D64" s="17">
        <v>1950</v>
      </c>
      <c r="H64" t="s">
        <v>1378</v>
      </c>
      <c r="I64" s="17">
        <v>230</v>
      </c>
    </row>
    <row r="65" spans="2:9">
      <c r="B65" t="s">
        <v>1195</v>
      </c>
      <c r="C65">
        <v>1</v>
      </c>
      <c r="D65" s="17">
        <v>96.5</v>
      </c>
      <c r="H65" t="s">
        <v>1354</v>
      </c>
      <c r="I65" s="17">
        <v>253</v>
      </c>
    </row>
    <row r="66" spans="2:9">
      <c r="B66" t="s">
        <v>1347</v>
      </c>
      <c r="C66">
        <v>982</v>
      </c>
      <c r="D66" s="17">
        <v>982</v>
      </c>
      <c r="H66" t="s">
        <v>1379</v>
      </c>
      <c r="I66">
        <v>276</v>
      </c>
    </row>
    <row r="67" spans="2:9">
      <c r="B67" t="s">
        <v>1311</v>
      </c>
      <c r="C67">
        <v>5</v>
      </c>
      <c r="D67" s="17">
        <v>5</v>
      </c>
      <c r="G67" t="s">
        <v>1186</v>
      </c>
      <c r="I67" s="17"/>
    </row>
    <row r="68" spans="2:9">
      <c r="B68" t="s">
        <v>1339</v>
      </c>
      <c r="C68">
        <v>22636</v>
      </c>
      <c r="D68" s="17">
        <v>22636</v>
      </c>
      <c r="H68" t="s">
        <v>1378</v>
      </c>
      <c r="I68" s="17">
        <v>510</v>
      </c>
    </row>
    <row r="69" spans="2:9">
      <c r="B69" t="s">
        <v>1312</v>
      </c>
      <c r="C69">
        <v>8</v>
      </c>
      <c r="D69" s="17">
        <v>8</v>
      </c>
      <c r="H69" t="s">
        <v>1354</v>
      </c>
      <c r="I69" s="17">
        <v>892.5</v>
      </c>
    </row>
    <row r="70" spans="2:9">
      <c r="B70" t="s">
        <v>1340</v>
      </c>
      <c r="C70">
        <v>2550</v>
      </c>
      <c r="D70" s="17">
        <v>2550</v>
      </c>
      <c r="H70" t="s">
        <v>1379</v>
      </c>
      <c r="I70">
        <v>1275</v>
      </c>
    </row>
    <row r="71" spans="2:9">
      <c r="B71" t="s">
        <v>1313</v>
      </c>
      <c r="C71">
        <v>5</v>
      </c>
      <c r="D71" s="17">
        <v>5</v>
      </c>
      <c r="G71" t="s">
        <v>1218</v>
      </c>
      <c r="I71" s="17"/>
    </row>
    <row r="72" spans="2:9">
      <c r="B72" t="s">
        <v>1350</v>
      </c>
      <c r="C72">
        <v>1560</v>
      </c>
      <c r="D72" s="17">
        <v>1560</v>
      </c>
      <c r="H72" t="s">
        <v>1378</v>
      </c>
      <c r="I72" s="17">
        <v>1392</v>
      </c>
    </row>
    <row r="73" spans="2:9">
      <c r="B73" t="s">
        <v>1314</v>
      </c>
      <c r="C73">
        <v>1</v>
      </c>
      <c r="D73" s="17">
        <v>1</v>
      </c>
      <c r="H73" t="s">
        <v>1354</v>
      </c>
      <c r="I73" s="17">
        <v>1392</v>
      </c>
    </row>
    <row r="74" spans="2:9">
      <c r="B74" t="s">
        <v>1343</v>
      </c>
      <c r="C74">
        <v>2208</v>
      </c>
      <c r="D74" s="17">
        <v>2208</v>
      </c>
      <c r="H74" t="s">
        <v>1379</v>
      </c>
      <c r="I74">
        <v>1392</v>
      </c>
    </row>
    <row r="75" spans="2:9">
      <c r="B75" t="s">
        <v>1315</v>
      </c>
      <c r="C75">
        <v>3</v>
      </c>
      <c r="D75" s="17">
        <v>3</v>
      </c>
      <c r="G75" t="s">
        <v>1212</v>
      </c>
      <c r="I75" s="17"/>
    </row>
    <row r="76" spans="2:9">
      <c r="B76" t="s">
        <v>1348</v>
      </c>
      <c r="C76">
        <v>1380</v>
      </c>
      <c r="D76" s="17">
        <v>1380</v>
      </c>
      <c r="H76" t="s">
        <v>1378</v>
      </c>
      <c r="I76" s="17">
        <v>1000</v>
      </c>
    </row>
    <row r="77" spans="2:9">
      <c r="B77" t="s">
        <v>1316</v>
      </c>
      <c r="C77">
        <v>3</v>
      </c>
      <c r="D77" s="17">
        <v>3</v>
      </c>
      <c r="H77" t="s">
        <v>1354</v>
      </c>
      <c r="I77" s="17">
        <v>1000</v>
      </c>
    </row>
    <row r="78" spans="2:9">
      <c r="B78" t="s">
        <v>1351</v>
      </c>
      <c r="C78">
        <v>3132</v>
      </c>
      <c r="D78" s="17">
        <v>3132</v>
      </c>
      <c r="H78" t="s">
        <v>1379</v>
      </c>
      <c r="I78">
        <v>1000</v>
      </c>
    </row>
    <row r="79" spans="2:9">
      <c r="B79" t="s">
        <v>1317</v>
      </c>
      <c r="C79">
        <v>2</v>
      </c>
      <c r="D79" s="17">
        <v>2</v>
      </c>
      <c r="F79" t="s">
        <v>1334</v>
      </c>
      <c r="I79" s="17"/>
    </row>
    <row r="80" spans="2:9">
      <c r="B80" t="s">
        <v>1341</v>
      </c>
      <c r="C80">
        <v>3712.5</v>
      </c>
      <c r="D80" s="17">
        <v>3712.5</v>
      </c>
      <c r="G80" t="s">
        <v>1201</v>
      </c>
      <c r="I80" s="17"/>
    </row>
    <row r="81" spans="1:9">
      <c r="B81" t="s">
        <v>1318</v>
      </c>
      <c r="C81">
        <v>8</v>
      </c>
      <c r="D81" s="17">
        <v>8</v>
      </c>
      <c r="H81" t="s">
        <v>1378</v>
      </c>
      <c r="I81" s="17">
        <v>500</v>
      </c>
    </row>
    <row r="82" spans="1:9">
      <c r="B82" t="s">
        <v>1349</v>
      </c>
      <c r="C82">
        <v>280</v>
      </c>
      <c r="D82" s="17">
        <v>280</v>
      </c>
      <c r="H82" t="s">
        <v>1354</v>
      </c>
      <c r="I82" s="17">
        <v>500</v>
      </c>
    </row>
    <row r="83" spans="1:9">
      <c r="B83" t="s">
        <v>1319</v>
      </c>
      <c r="C83">
        <v>1</v>
      </c>
      <c r="D83" s="17">
        <v>1</v>
      </c>
      <c r="H83" t="s">
        <v>1379</v>
      </c>
      <c r="I83">
        <v>500</v>
      </c>
    </row>
    <row r="84" spans="1:9">
      <c r="B84" t="s">
        <v>1345</v>
      </c>
      <c r="C84">
        <v>5740</v>
      </c>
      <c r="D84" s="17">
        <v>5740</v>
      </c>
      <c r="G84" t="s">
        <v>1212</v>
      </c>
      <c r="I84" s="17"/>
    </row>
    <row r="85" spans="1:9">
      <c r="B85" t="s">
        <v>1320</v>
      </c>
      <c r="C85">
        <v>3</v>
      </c>
      <c r="D85" s="17">
        <v>3</v>
      </c>
      <c r="H85" t="s">
        <v>1378</v>
      </c>
      <c r="I85" s="17">
        <v>120</v>
      </c>
    </row>
    <row r="86" spans="1:9">
      <c r="B86" t="s">
        <v>1346</v>
      </c>
      <c r="C86">
        <v>533.75</v>
      </c>
      <c r="D86" s="17">
        <v>533.75</v>
      </c>
      <c r="H86" t="s">
        <v>1354</v>
      </c>
      <c r="I86" s="17">
        <v>120</v>
      </c>
    </row>
    <row r="87" spans="1:9">
      <c r="B87" t="s">
        <v>1321</v>
      </c>
      <c r="C87">
        <v>1</v>
      </c>
      <c r="D87" s="17">
        <v>1</v>
      </c>
      <c r="H87" t="s">
        <v>1379</v>
      </c>
      <c r="I87">
        <v>120</v>
      </c>
    </row>
    <row r="88" spans="1:9">
      <c r="B88" t="s">
        <v>1352</v>
      </c>
      <c r="C88">
        <v>1950</v>
      </c>
      <c r="D88" s="17">
        <v>1950</v>
      </c>
      <c r="G88" t="s">
        <v>1195</v>
      </c>
      <c r="I88" s="17"/>
    </row>
    <row r="89" spans="1:9">
      <c r="B89" t="s">
        <v>1322</v>
      </c>
      <c r="C89">
        <v>1</v>
      </c>
      <c r="D89" s="17">
        <v>1</v>
      </c>
      <c r="H89" t="s">
        <v>1378</v>
      </c>
      <c r="I89" s="17">
        <v>1930</v>
      </c>
    </row>
    <row r="90" spans="1:9">
      <c r="B90" t="s">
        <v>1342</v>
      </c>
      <c r="C90">
        <v>2600</v>
      </c>
      <c r="D90" s="17">
        <v>2600</v>
      </c>
      <c r="H90" t="s">
        <v>1354</v>
      </c>
      <c r="I90" s="17">
        <v>1930</v>
      </c>
    </row>
    <row r="91" spans="1:9">
      <c r="B91" t="s">
        <v>1323</v>
      </c>
      <c r="C91">
        <v>4</v>
      </c>
      <c r="D91" s="17">
        <v>4</v>
      </c>
      <c r="H91" t="s">
        <v>1379</v>
      </c>
      <c r="I91">
        <v>1930</v>
      </c>
    </row>
    <row r="92" spans="1:9">
      <c r="B92" t="s">
        <v>1344</v>
      </c>
      <c r="C92">
        <v>2798.5</v>
      </c>
      <c r="D92" s="17">
        <v>2798.5</v>
      </c>
      <c r="F92" t="s">
        <v>1328</v>
      </c>
      <c r="I92" s="17"/>
    </row>
    <row r="93" spans="1:9">
      <c r="B93" t="s">
        <v>1324</v>
      </c>
      <c r="C93">
        <v>4</v>
      </c>
      <c r="D93" s="17">
        <v>4</v>
      </c>
      <c r="G93" t="s">
        <v>1192</v>
      </c>
      <c r="I93" s="17"/>
    </row>
    <row r="94" spans="1:9">
      <c r="A94" t="s">
        <v>1168</v>
      </c>
      <c r="C94">
        <v>49</v>
      </c>
      <c r="D94" s="17">
        <v>52062.75</v>
      </c>
      <c r="H94" t="s">
        <v>1378</v>
      </c>
      <c r="I94" s="17">
        <v>270</v>
      </c>
    </row>
    <row r="95" spans="1:9">
      <c r="H95" t="s">
        <v>1354</v>
      </c>
      <c r="I95" s="17">
        <v>595</v>
      </c>
    </row>
    <row r="96" spans="1:9">
      <c r="H96" t="s">
        <v>1379</v>
      </c>
      <c r="I96">
        <v>920</v>
      </c>
    </row>
    <row r="97" spans="6:9">
      <c r="F97" t="s">
        <v>1335</v>
      </c>
      <c r="I97" s="17"/>
    </row>
    <row r="98" spans="6:9">
      <c r="G98" t="s">
        <v>1203</v>
      </c>
      <c r="I98" s="17"/>
    </row>
    <row r="99" spans="6:9">
      <c r="H99" t="s">
        <v>1378</v>
      </c>
      <c r="I99" s="17">
        <v>92</v>
      </c>
    </row>
    <row r="100" spans="6:9">
      <c r="H100" t="s">
        <v>1354</v>
      </c>
      <c r="I100" s="17">
        <v>92</v>
      </c>
    </row>
    <row r="101" spans="6:9">
      <c r="H101" t="s">
        <v>1379</v>
      </c>
      <c r="I101">
        <v>92</v>
      </c>
    </row>
    <row r="102" spans="6:9">
      <c r="G102" t="s">
        <v>1192</v>
      </c>
      <c r="I102" s="17"/>
    </row>
    <row r="103" spans="6:9">
      <c r="H103" t="s">
        <v>1378</v>
      </c>
      <c r="I103" s="17">
        <v>598</v>
      </c>
    </row>
    <row r="104" spans="6:9">
      <c r="H104" t="s">
        <v>1354</v>
      </c>
      <c r="I104" s="17">
        <v>598</v>
      </c>
    </row>
    <row r="105" spans="6:9">
      <c r="H105" t="s">
        <v>1379</v>
      </c>
      <c r="I105">
        <v>598</v>
      </c>
    </row>
    <row r="106" spans="6:9">
      <c r="G106" t="s">
        <v>1201</v>
      </c>
      <c r="I106" s="17"/>
    </row>
    <row r="107" spans="6:9">
      <c r="H107" t="s">
        <v>1378</v>
      </c>
      <c r="I107" s="17">
        <v>220</v>
      </c>
    </row>
    <row r="108" spans="6:9">
      <c r="H108" t="s">
        <v>1354</v>
      </c>
      <c r="I108" s="17">
        <v>220</v>
      </c>
    </row>
    <row r="109" spans="6:9">
      <c r="H109" t="s">
        <v>1379</v>
      </c>
      <c r="I109">
        <v>220</v>
      </c>
    </row>
    <row r="110" spans="6:9">
      <c r="G110" t="s">
        <v>1189</v>
      </c>
      <c r="I110" s="17"/>
    </row>
    <row r="111" spans="6:9">
      <c r="H111" t="s">
        <v>1378</v>
      </c>
      <c r="I111" s="17">
        <v>52.5</v>
      </c>
    </row>
    <row r="112" spans="6:9">
      <c r="H112" t="s">
        <v>1354</v>
      </c>
      <c r="I112" s="17">
        <v>126.25</v>
      </c>
    </row>
    <row r="113" spans="6:9">
      <c r="H113" t="s">
        <v>1379</v>
      </c>
      <c r="I113">
        <v>200</v>
      </c>
    </row>
    <row r="114" spans="6:9">
      <c r="G114" t="s">
        <v>1197</v>
      </c>
      <c r="I114" s="17"/>
    </row>
    <row r="115" spans="6:9">
      <c r="H115" t="s">
        <v>1378</v>
      </c>
      <c r="I115" s="17">
        <v>250</v>
      </c>
    </row>
    <row r="116" spans="6:9">
      <c r="H116" t="s">
        <v>1354</v>
      </c>
      <c r="I116" s="17">
        <v>250</v>
      </c>
    </row>
    <row r="117" spans="6:9">
      <c r="H117" t="s">
        <v>1379</v>
      </c>
      <c r="I117">
        <v>250</v>
      </c>
    </row>
    <row r="118" spans="6:9">
      <c r="F118" t="s">
        <v>1336</v>
      </c>
      <c r="I118" s="17"/>
    </row>
    <row r="119" spans="6:9">
      <c r="G119" t="s">
        <v>1196</v>
      </c>
      <c r="I119" s="17"/>
    </row>
    <row r="120" spans="6:9">
      <c r="H120" t="s">
        <v>1378</v>
      </c>
      <c r="I120" s="17">
        <v>736</v>
      </c>
    </row>
    <row r="121" spans="6:9">
      <c r="H121" t="s">
        <v>1354</v>
      </c>
      <c r="I121" s="17">
        <v>736</v>
      </c>
    </row>
    <row r="122" spans="6:9">
      <c r="H122" t="s">
        <v>1379</v>
      </c>
      <c r="I122">
        <v>736</v>
      </c>
    </row>
    <row r="123" spans="6:9">
      <c r="F123" t="s">
        <v>1337</v>
      </c>
      <c r="I123" s="17"/>
    </row>
    <row r="124" spans="6:9">
      <c r="G124" t="s">
        <v>1212</v>
      </c>
      <c r="I124" s="17"/>
    </row>
    <row r="125" spans="6:9">
      <c r="H125" t="s">
        <v>1378</v>
      </c>
      <c r="I125" s="17">
        <v>800</v>
      </c>
    </row>
    <row r="126" spans="6:9">
      <c r="H126" t="s">
        <v>1354</v>
      </c>
      <c r="I126" s="17">
        <v>800</v>
      </c>
    </row>
    <row r="127" spans="6:9">
      <c r="H127" t="s">
        <v>1379</v>
      </c>
      <c r="I127">
        <v>800</v>
      </c>
    </row>
    <row r="128" spans="6:9">
      <c r="F128" t="s">
        <v>1338</v>
      </c>
      <c r="I128" s="17"/>
    </row>
    <row r="129" spans="6:9">
      <c r="G129" t="s">
        <v>1218</v>
      </c>
      <c r="I129" s="17"/>
    </row>
    <row r="130" spans="6:9">
      <c r="H130" t="s">
        <v>1378</v>
      </c>
      <c r="I130" s="17">
        <v>1740</v>
      </c>
    </row>
    <row r="131" spans="6:9">
      <c r="H131" t="s">
        <v>1354</v>
      </c>
      <c r="I131" s="17">
        <v>1740</v>
      </c>
    </row>
    <row r="132" spans="6:9">
      <c r="H132" t="s">
        <v>1379</v>
      </c>
      <c r="I132">
        <v>1740</v>
      </c>
    </row>
    <row r="133" spans="6:9">
      <c r="G133" t="s">
        <v>1226</v>
      </c>
      <c r="I133" s="17"/>
    </row>
    <row r="134" spans="6:9">
      <c r="H134" t="s">
        <v>1378</v>
      </c>
      <c r="I134" s="17">
        <v>1950</v>
      </c>
    </row>
    <row r="135" spans="6:9">
      <c r="H135" t="s">
        <v>1354</v>
      </c>
      <c r="I135" s="17">
        <v>1950</v>
      </c>
    </row>
    <row r="136" spans="6:9">
      <c r="H136" t="s">
        <v>1379</v>
      </c>
      <c r="I136">
        <v>1950</v>
      </c>
    </row>
    <row r="137" spans="6:9">
      <c r="G137" t="s">
        <v>1195</v>
      </c>
      <c r="I137" s="17"/>
    </row>
    <row r="138" spans="6:9">
      <c r="H138" t="s">
        <v>1378</v>
      </c>
      <c r="I138" s="17">
        <v>96.5</v>
      </c>
    </row>
    <row r="139" spans="6:9">
      <c r="H139" t="s">
        <v>1354</v>
      </c>
      <c r="I139" s="17">
        <v>96.5</v>
      </c>
    </row>
    <row r="140" spans="6:9">
      <c r="H140" t="s">
        <v>1379</v>
      </c>
      <c r="I140">
        <v>96.5</v>
      </c>
    </row>
    <row r="141" spans="6:9">
      <c r="F141" t="s">
        <v>1381</v>
      </c>
      <c r="I141" s="17">
        <v>35</v>
      </c>
    </row>
    <row r="142" spans="6:9">
      <c r="F142" t="s">
        <v>1382</v>
      </c>
      <c r="I142" s="17">
        <v>1062.5051020408164</v>
      </c>
    </row>
    <row r="143" spans="6:9">
      <c r="F143" t="s">
        <v>1383</v>
      </c>
      <c r="I143">
        <v>13800</v>
      </c>
    </row>
  </sheetData>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9ABF1-6353-48A9-A899-22821484F614}">
  <sheetPr codeName="Sheet13">
    <tabColor theme="6"/>
  </sheetPr>
  <dimension ref="A1:Q27"/>
  <sheetViews>
    <sheetView zoomScale="90" zoomScaleNormal="90" zoomScalePageLayoutView="200" workbookViewId="0">
      <selection activeCell="G17" sqref="G17"/>
    </sheetView>
  </sheetViews>
  <sheetFormatPr defaultColWidth="8.86328125" defaultRowHeight="12.75"/>
  <cols>
    <col min="1" max="1" width="30.73046875" customWidth="1"/>
    <col min="2" max="2" width="23.73046875" bestFit="1" customWidth="1"/>
    <col min="3" max="14" width="13.1328125" bestFit="1" customWidth="1"/>
    <col min="15" max="15" width="11.73046875" bestFit="1" customWidth="1"/>
    <col min="16" max="16" width="13.1328125" bestFit="1" customWidth="1"/>
    <col min="17" max="17" width="11.73046875" bestFit="1" customWidth="1"/>
    <col min="18" max="43" width="16.3984375" bestFit="1" customWidth="1"/>
    <col min="44" max="44" width="20.73046875" bestFit="1" customWidth="1"/>
    <col min="45" max="45" width="21.59765625" bestFit="1" customWidth="1"/>
    <col min="46" max="46" width="17.3984375" bestFit="1" customWidth="1"/>
  </cols>
  <sheetData>
    <row r="1" spans="1:17">
      <c r="D1" s="18" t="s">
        <v>1365</v>
      </c>
    </row>
    <row r="2" spans="1:17">
      <c r="D2" s="18" t="s">
        <v>1366</v>
      </c>
    </row>
    <row r="3" spans="1:17">
      <c r="D3" s="18" t="s">
        <v>1367</v>
      </c>
    </row>
    <row r="4" spans="1:17">
      <c r="D4" s="18" t="s">
        <v>1368</v>
      </c>
    </row>
    <row r="8" spans="1:17" ht="15.4">
      <c r="A8" s="16" t="s">
        <v>1364</v>
      </c>
    </row>
    <row r="9" spans="1:17" ht="112.5" customHeight="1"/>
    <row r="11" spans="1:17">
      <c r="B11" s="1" t="s">
        <v>1278</v>
      </c>
      <c r="C11" s="1" t="s">
        <v>1172</v>
      </c>
    </row>
    <row r="12" spans="1:17">
      <c r="B12" s="1" t="s">
        <v>1180</v>
      </c>
      <c r="C12" s="15" t="s">
        <v>1389</v>
      </c>
      <c r="D12" s="15" t="s">
        <v>1358</v>
      </c>
      <c r="E12" s="15" t="s">
        <v>1359</v>
      </c>
      <c r="F12" s="15" t="s">
        <v>1360</v>
      </c>
      <c r="G12" s="15" t="s">
        <v>1361</v>
      </c>
      <c r="H12" s="15" t="s">
        <v>1362</v>
      </c>
      <c r="I12" s="15" t="s">
        <v>1363</v>
      </c>
      <c r="J12" s="15" t="s">
        <v>1369</v>
      </c>
      <c r="K12" s="15" t="s">
        <v>1370</v>
      </c>
      <c r="L12" s="15" t="s">
        <v>1371</v>
      </c>
      <c r="M12" s="15" t="s">
        <v>1372</v>
      </c>
      <c r="N12" s="15" t="s">
        <v>1373</v>
      </c>
      <c r="O12" s="15" t="s">
        <v>1374</v>
      </c>
      <c r="P12" s="15" t="s">
        <v>1390</v>
      </c>
      <c r="Q12" s="15" t="s">
        <v>1168</v>
      </c>
    </row>
    <row r="13" spans="1:17">
      <c r="B13" t="s">
        <v>1203</v>
      </c>
      <c r="C13" s="17"/>
      <c r="D13" s="17">
        <v>276</v>
      </c>
      <c r="E13" s="17">
        <v>184</v>
      </c>
      <c r="F13" s="17">
        <v>92</v>
      </c>
      <c r="G13" s="17">
        <v>430</v>
      </c>
      <c r="H13" s="17"/>
      <c r="I13" s="17"/>
      <c r="J13" s="17"/>
      <c r="K13" s="17"/>
      <c r="L13" s="17"/>
      <c r="M13" s="17"/>
      <c r="N13" s="17"/>
      <c r="O13" s="17"/>
      <c r="P13" s="17"/>
      <c r="Q13" s="17">
        <v>982</v>
      </c>
    </row>
    <row r="14" spans="1:17">
      <c r="B14" t="s">
        <v>1192</v>
      </c>
      <c r="C14" s="17"/>
      <c r="D14" s="17">
        <v>2590</v>
      </c>
      <c r="E14" s="17"/>
      <c r="F14" s="17">
        <v>14398</v>
      </c>
      <c r="G14" s="17">
        <v>5418</v>
      </c>
      <c r="H14" s="17"/>
      <c r="I14" s="17">
        <v>230</v>
      </c>
      <c r="J14" s="17"/>
      <c r="K14" s="17"/>
      <c r="L14" s="17"/>
      <c r="M14" s="17"/>
      <c r="N14" s="17"/>
      <c r="O14" s="17"/>
      <c r="P14" s="17"/>
      <c r="Q14" s="17">
        <v>22636</v>
      </c>
    </row>
    <row r="15" spans="1:17">
      <c r="B15" t="s">
        <v>1186</v>
      </c>
      <c r="C15" s="17"/>
      <c r="D15" s="17"/>
      <c r="E15" s="17">
        <v>127.5</v>
      </c>
      <c r="F15" s="17">
        <v>1275</v>
      </c>
      <c r="G15" s="17">
        <v>127.5</v>
      </c>
      <c r="H15" s="17"/>
      <c r="I15" s="17">
        <v>1020</v>
      </c>
      <c r="J15" s="17"/>
      <c r="K15" s="17"/>
      <c r="L15" s="17"/>
      <c r="M15" s="17"/>
      <c r="N15" s="17"/>
      <c r="O15" s="17"/>
      <c r="P15" s="17"/>
      <c r="Q15" s="17">
        <v>2550</v>
      </c>
    </row>
    <row r="16" spans="1:17">
      <c r="B16" t="s">
        <v>1220</v>
      </c>
      <c r="C16" s="17"/>
      <c r="D16" s="17"/>
      <c r="E16" s="17"/>
      <c r="F16" s="17"/>
      <c r="G16" s="17"/>
      <c r="H16" s="17"/>
      <c r="I16" s="17">
        <v>1560</v>
      </c>
      <c r="J16" s="17"/>
      <c r="K16" s="17"/>
      <c r="L16" s="17"/>
      <c r="M16" s="17"/>
      <c r="N16" s="17"/>
      <c r="O16" s="17"/>
      <c r="P16" s="17"/>
      <c r="Q16" s="17">
        <v>1560</v>
      </c>
    </row>
    <row r="17" spans="2:17">
      <c r="B17" t="s">
        <v>1196</v>
      </c>
      <c r="C17" s="17"/>
      <c r="D17" s="17"/>
      <c r="E17" s="17"/>
      <c r="F17" s="17"/>
      <c r="G17" s="17">
        <v>1472</v>
      </c>
      <c r="H17" s="17">
        <v>736</v>
      </c>
      <c r="I17" s="17"/>
      <c r="J17" s="17"/>
      <c r="K17" s="17"/>
      <c r="L17" s="17"/>
      <c r="M17" s="17"/>
      <c r="N17" s="17"/>
      <c r="O17" s="17"/>
      <c r="P17" s="17"/>
      <c r="Q17" s="17">
        <v>2208</v>
      </c>
    </row>
    <row r="18" spans="2:17">
      <c r="B18" t="s">
        <v>1201</v>
      </c>
      <c r="C18" s="17"/>
      <c r="D18" s="17"/>
      <c r="E18" s="17"/>
      <c r="F18" s="17">
        <v>220</v>
      </c>
      <c r="G18" s="17">
        <v>500</v>
      </c>
      <c r="H18" s="17"/>
      <c r="I18" s="17">
        <v>660</v>
      </c>
      <c r="J18" s="17"/>
      <c r="K18" s="17"/>
      <c r="L18" s="17"/>
      <c r="M18" s="17"/>
      <c r="N18" s="17"/>
      <c r="O18" s="17"/>
      <c r="P18" s="17"/>
      <c r="Q18" s="17">
        <v>1380</v>
      </c>
    </row>
    <row r="19" spans="2:17">
      <c r="B19" t="s">
        <v>1218</v>
      </c>
      <c r="C19" s="17"/>
      <c r="D19" s="17"/>
      <c r="E19" s="17"/>
      <c r="F19" s="17"/>
      <c r="G19" s="17">
        <v>3132</v>
      </c>
      <c r="H19" s="17"/>
      <c r="I19" s="17"/>
      <c r="J19" s="17"/>
      <c r="K19" s="17"/>
      <c r="L19" s="17"/>
      <c r="M19" s="17"/>
      <c r="N19" s="17"/>
      <c r="O19" s="17"/>
      <c r="P19" s="17"/>
      <c r="Q19" s="17">
        <v>3132</v>
      </c>
    </row>
    <row r="20" spans="2:17">
      <c r="B20" t="s">
        <v>1189</v>
      </c>
      <c r="C20" s="17"/>
      <c r="D20" s="17">
        <v>970</v>
      </c>
      <c r="E20" s="17"/>
      <c r="F20" s="17"/>
      <c r="G20" s="17"/>
      <c r="H20" s="17">
        <v>252.5</v>
      </c>
      <c r="I20" s="17">
        <v>2490</v>
      </c>
      <c r="J20" s="17"/>
      <c r="K20" s="17"/>
      <c r="L20" s="17"/>
      <c r="M20" s="17"/>
      <c r="N20" s="17"/>
      <c r="O20" s="17"/>
      <c r="P20" s="17"/>
      <c r="Q20" s="17">
        <v>3712.5</v>
      </c>
    </row>
    <row r="21" spans="2:17">
      <c r="B21" t="s">
        <v>1210</v>
      </c>
      <c r="C21" s="17"/>
      <c r="D21" s="17"/>
      <c r="E21" s="17"/>
      <c r="F21" s="17"/>
      <c r="G21" s="17">
        <v>280</v>
      </c>
      <c r="H21" s="17"/>
      <c r="I21" s="17"/>
      <c r="J21" s="17"/>
      <c r="K21" s="17"/>
      <c r="L21" s="17"/>
      <c r="M21" s="17"/>
      <c r="N21" s="17"/>
      <c r="O21" s="17"/>
      <c r="P21" s="17"/>
      <c r="Q21" s="17">
        <v>280</v>
      </c>
    </row>
    <row r="22" spans="2:17">
      <c r="B22" t="s">
        <v>1197</v>
      </c>
      <c r="C22" s="17"/>
      <c r="D22" s="17"/>
      <c r="E22" s="17"/>
      <c r="F22" s="17">
        <v>250</v>
      </c>
      <c r="G22" s="17">
        <v>3240</v>
      </c>
      <c r="H22" s="17"/>
      <c r="I22" s="17">
        <v>2250</v>
      </c>
      <c r="J22" s="17"/>
      <c r="K22" s="17"/>
      <c r="L22" s="17"/>
      <c r="M22" s="17"/>
      <c r="N22" s="17"/>
      <c r="O22" s="17"/>
      <c r="P22" s="17"/>
      <c r="Q22" s="17">
        <v>5740</v>
      </c>
    </row>
    <row r="23" spans="2:17">
      <c r="B23" t="s">
        <v>1194</v>
      </c>
      <c r="C23" s="17"/>
      <c r="D23" s="17"/>
      <c r="E23" s="17"/>
      <c r="F23" s="17"/>
      <c r="G23" s="17">
        <v>533.75</v>
      </c>
      <c r="H23" s="17"/>
      <c r="I23" s="17"/>
      <c r="J23" s="17"/>
      <c r="K23" s="17"/>
      <c r="L23" s="17"/>
      <c r="M23" s="17"/>
      <c r="N23" s="17"/>
      <c r="O23" s="17"/>
      <c r="P23" s="17"/>
      <c r="Q23" s="17">
        <v>533.75</v>
      </c>
    </row>
    <row r="24" spans="2:17">
      <c r="B24" t="s">
        <v>1226</v>
      </c>
      <c r="C24" s="17"/>
      <c r="D24" s="17"/>
      <c r="E24" s="17"/>
      <c r="F24" s="17"/>
      <c r="G24" s="17">
        <v>1950</v>
      </c>
      <c r="H24" s="17"/>
      <c r="I24" s="17"/>
      <c r="J24" s="17"/>
      <c r="K24" s="17"/>
      <c r="L24" s="17"/>
      <c r="M24" s="17"/>
      <c r="N24" s="17"/>
      <c r="O24" s="17"/>
      <c r="P24" s="17"/>
      <c r="Q24" s="17">
        <v>1950</v>
      </c>
    </row>
    <row r="25" spans="2:17">
      <c r="B25" t="s">
        <v>1212</v>
      </c>
      <c r="C25" s="17"/>
      <c r="D25" s="17"/>
      <c r="E25" s="17"/>
      <c r="F25" s="17">
        <v>680</v>
      </c>
      <c r="G25" s="17">
        <v>1120</v>
      </c>
      <c r="H25" s="17">
        <v>800</v>
      </c>
      <c r="I25" s="17"/>
      <c r="J25" s="17"/>
      <c r="K25" s="17"/>
      <c r="L25" s="17"/>
      <c r="M25" s="17"/>
      <c r="N25" s="17"/>
      <c r="O25" s="17"/>
      <c r="P25" s="17"/>
      <c r="Q25" s="17">
        <v>2600</v>
      </c>
    </row>
    <row r="26" spans="2:17">
      <c r="B26" t="s">
        <v>1195</v>
      </c>
      <c r="C26" s="17"/>
      <c r="D26" s="17"/>
      <c r="E26" s="17">
        <v>1930</v>
      </c>
      <c r="F26" s="17"/>
      <c r="G26" s="17">
        <v>772</v>
      </c>
      <c r="H26" s="17"/>
      <c r="I26" s="17">
        <v>96.5</v>
      </c>
      <c r="J26" s="17"/>
      <c r="K26" s="17"/>
      <c r="L26" s="17"/>
      <c r="M26" s="17"/>
      <c r="N26" s="17"/>
      <c r="O26" s="17"/>
      <c r="P26" s="17"/>
      <c r="Q26" s="17">
        <v>2798.5</v>
      </c>
    </row>
    <row r="27" spans="2:17">
      <c r="B27" t="s">
        <v>1168</v>
      </c>
      <c r="C27" s="17"/>
      <c r="D27" s="17">
        <v>3836</v>
      </c>
      <c r="E27" s="17">
        <v>2241.5</v>
      </c>
      <c r="F27" s="17">
        <v>16915</v>
      </c>
      <c r="G27" s="17">
        <v>18975.25</v>
      </c>
      <c r="H27" s="17">
        <v>1788.5</v>
      </c>
      <c r="I27" s="17">
        <v>8306.5</v>
      </c>
      <c r="J27" s="17"/>
      <c r="K27" s="17"/>
      <c r="L27" s="17"/>
      <c r="M27" s="17"/>
      <c r="N27" s="17"/>
      <c r="O27" s="17"/>
      <c r="P27" s="17"/>
      <c r="Q27" s="17">
        <v>52062.75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E7300-8D51-42CC-8ECC-DFB65067BEA5}">
  <sheetPr codeName="Sheet17">
    <tabColor theme="6"/>
  </sheetPr>
  <dimension ref="B1:K98"/>
  <sheetViews>
    <sheetView showGridLines="0" zoomScaleNormal="100" zoomScalePageLayoutView="200" workbookViewId="0">
      <pane xSplit="1" ySplit="1" topLeftCell="B2" activePane="bottomRight" state="frozen"/>
      <selection pane="topRight" activeCell="B1" sqref="B1"/>
      <selection pane="bottomLeft" activeCell="A2" sqref="A2"/>
      <selection pane="bottomRight" activeCell="C12" sqref="C12"/>
    </sheetView>
  </sheetViews>
  <sheetFormatPr defaultColWidth="8.86328125" defaultRowHeight="12.75"/>
  <cols>
    <col min="1" max="1" width="42.33203125" customWidth="1"/>
    <col min="2" max="2" width="23.73046875" bestFit="1" customWidth="1"/>
    <col min="3" max="3" width="17.86328125" bestFit="1" customWidth="1"/>
    <col min="4" max="4" width="29.265625" bestFit="1" customWidth="1"/>
    <col min="5" max="14" width="9.86328125" customWidth="1"/>
    <col min="15" max="15" width="11.73046875" bestFit="1" customWidth="1"/>
    <col min="16" max="16" width="13.1328125" bestFit="1" customWidth="1"/>
    <col min="17" max="17" width="11.73046875" bestFit="1" customWidth="1"/>
    <col min="18" max="43" width="16.3984375" bestFit="1" customWidth="1"/>
    <col min="44" max="44" width="20.73046875" bestFit="1" customWidth="1"/>
    <col min="45" max="45" width="21.59765625" bestFit="1" customWidth="1"/>
    <col min="46" max="46" width="17.3984375" bestFit="1" customWidth="1"/>
  </cols>
  <sheetData>
    <row r="1" spans="2:11" ht="230.35" customHeight="1"/>
    <row r="3" spans="2:11">
      <c r="B3" t="s">
        <v>1278</v>
      </c>
      <c r="E3" t="s">
        <v>1172</v>
      </c>
    </row>
    <row r="4" spans="2:11">
      <c r="B4" t="s">
        <v>1182</v>
      </c>
      <c r="C4" t="s">
        <v>1174</v>
      </c>
      <c r="D4" t="s">
        <v>1180</v>
      </c>
      <c r="E4" s="15" t="s">
        <v>1358</v>
      </c>
      <c r="F4" s="15" t="s">
        <v>1359</v>
      </c>
      <c r="G4" s="15" t="s">
        <v>1360</v>
      </c>
      <c r="H4" s="15" t="s">
        <v>1361</v>
      </c>
      <c r="I4" s="15" t="s">
        <v>1362</v>
      </c>
      <c r="J4" s="15" t="s">
        <v>1363</v>
      </c>
      <c r="K4" s="15" t="s">
        <v>1168</v>
      </c>
    </row>
    <row r="5" spans="2:11">
      <c r="B5" t="s">
        <v>1114</v>
      </c>
      <c r="E5" s="17"/>
      <c r="F5" s="17"/>
      <c r="G5" s="17"/>
      <c r="H5" s="17"/>
      <c r="I5" s="17"/>
      <c r="J5" s="17"/>
      <c r="K5" s="17"/>
    </row>
    <row r="6" spans="2:11">
      <c r="C6" t="s">
        <v>1334</v>
      </c>
      <c r="E6" s="17"/>
      <c r="F6" s="17"/>
      <c r="G6" s="17"/>
      <c r="H6" s="17"/>
      <c r="I6" s="17"/>
      <c r="J6" s="17"/>
      <c r="K6" s="17"/>
    </row>
    <row r="7" spans="2:11">
      <c r="D7" t="s">
        <v>1201</v>
      </c>
      <c r="E7" s="17"/>
      <c r="F7" s="17"/>
      <c r="G7" s="17"/>
      <c r="H7" s="17">
        <v>500</v>
      </c>
      <c r="I7" s="17"/>
      <c r="J7" s="17"/>
      <c r="K7" s="17">
        <v>500</v>
      </c>
    </row>
    <row r="8" spans="2:11">
      <c r="D8" t="s">
        <v>1212</v>
      </c>
      <c r="E8" s="17"/>
      <c r="F8" s="17"/>
      <c r="G8" s="17"/>
      <c r="H8" s="17">
        <v>120</v>
      </c>
      <c r="I8" s="17"/>
      <c r="J8" s="17"/>
      <c r="K8" s="17">
        <v>120</v>
      </c>
    </row>
    <row r="9" spans="2:11">
      <c r="D9" t="s">
        <v>1195</v>
      </c>
      <c r="E9" s="17"/>
      <c r="F9" s="17">
        <v>1930</v>
      </c>
      <c r="G9" s="17"/>
      <c r="H9" s="17"/>
      <c r="I9" s="17"/>
      <c r="J9" s="17"/>
      <c r="K9" s="17">
        <v>1930</v>
      </c>
    </row>
    <row r="10" spans="2:11">
      <c r="B10" t="s">
        <v>1207</v>
      </c>
      <c r="E10" s="17"/>
      <c r="F10" s="17"/>
      <c r="G10" s="17"/>
      <c r="H10" s="17"/>
      <c r="I10" s="17"/>
      <c r="J10" s="17"/>
      <c r="K10" s="17"/>
    </row>
    <row r="11" spans="2:11">
      <c r="C11" t="s">
        <v>1325</v>
      </c>
      <c r="E11" s="17"/>
      <c r="F11" s="17"/>
      <c r="G11" s="17"/>
      <c r="H11" s="17"/>
      <c r="I11" s="17"/>
      <c r="J11" s="17"/>
      <c r="K11" s="17"/>
    </row>
    <row r="12" spans="2:11">
      <c r="D12" t="s">
        <v>1192</v>
      </c>
      <c r="E12" s="17"/>
      <c r="F12" s="17"/>
      <c r="G12" s="17"/>
      <c r="H12" s="17">
        <v>1218</v>
      </c>
      <c r="I12" s="17"/>
      <c r="J12" s="17"/>
      <c r="K12" s="17">
        <v>1218</v>
      </c>
    </row>
    <row r="13" spans="2:11">
      <c r="D13" t="s">
        <v>1186</v>
      </c>
      <c r="E13" s="17"/>
      <c r="F13" s="17">
        <v>127.5</v>
      </c>
      <c r="G13" s="17"/>
      <c r="H13" s="17"/>
      <c r="I13" s="17"/>
      <c r="J13" s="17"/>
      <c r="K13" s="17">
        <v>127.5</v>
      </c>
    </row>
    <row r="14" spans="2:11">
      <c r="D14" t="s">
        <v>1220</v>
      </c>
      <c r="E14" s="17"/>
      <c r="F14" s="17"/>
      <c r="G14" s="17"/>
      <c r="H14" s="17"/>
      <c r="I14" s="17"/>
      <c r="J14" s="17">
        <v>1560</v>
      </c>
      <c r="K14" s="17">
        <v>1560</v>
      </c>
    </row>
    <row r="15" spans="2:11">
      <c r="B15" t="s">
        <v>1084</v>
      </c>
      <c r="E15" s="17"/>
      <c r="F15" s="17"/>
      <c r="G15" s="17"/>
      <c r="H15" s="17"/>
      <c r="I15" s="17"/>
      <c r="J15" s="17"/>
      <c r="K15" s="17"/>
    </row>
    <row r="16" spans="2:11">
      <c r="C16" t="s">
        <v>1329</v>
      </c>
      <c r="E16" s="17"/>
      <c r="F16" s="17"/>
      <c r="G16" s="17"/>
      <c r="H16" s="17"/>
      <c r="I16" s="17"/>
      <c r="J16" s="17"/>
      <c r="K16" s="17"/>
    </row>
    <row r="17" spans="2:11">
      <c r="D17" t="s">
        <v>1196</v>
      </c>
      <c r="E17" s="17"/>
      <c r="F17" s="17"/>
      <c r="G17" s="17"/>
      <c r="H17" s="17">
        <v>552</v>
      </c>
      <c r="I17" s="17"/>
      <c r="J17" s="17"/>
      <c r="K17" s="17">
        <v>552</v>
      </c>
    </row>
    <row r="18" spans="2:11">
      <c r="D18" t="s">
        <v>1197</v>
      </c>
      <c r="E18" s="17"/>
      <c r="F18" s="17"/>
      <c r="G18" s="17"/>
      <c r="H18" s="17"/>
      <c r="I18" s="17"/>
      <c r="J18" s="17">
        <v>2250</v>
      </c>
      <c r="K18" s="17">
        <v>2250</v>
      </c>
    </row>
    <row r="19" spans="2:11">
      <c r="D19" t="s">
        <v>1194</v>
      </c>
      <c r="E19" s="17"/>
      <c r="F19" s="17"/>
      <c r="G19" s="17"/>
      <c r="H19" s="17">
        <v>533.75</v>
      </c>
      <c r="I19" s="17"/>
      <c r="J19" s="17"/>
      <c r="K19" s="17">
        <v>533.75</v>
      </c>
    </row>
    <row r="20" spans="2:11">
      <c r="D20" t="s">
        <v>1195</v>
      </c>
      <c r="E20" s="17"/>
      <c r="F20" s="17"/>
      <c r="G20" s="17"/>
      <c r="H20" s="17">
        <v>289.5</v>
      </c>
      <c r="I20" s="17"/>
      <c r="J20" s="17"/>
      <c r="K20" s="17">
        <v>289.5</v>
      </c>
    </row>
    <row r="21" spans="2:11">
      <c r="C21" t="s">
        <v>1337</v>
      </c>
      <c r="E21" s="17"/>
      <c r="F21" s="17"/>
      <c r="G21" s="17"/>
      <c r="H21" s="17"/>
      <c r="I21" s="17"/>
      <c r="J21" s="17"/>
      <c r="K21" s="17"/>
    </row>
    <row r="22" spans="2:11">
      <c r="D22" t="s">
        <v>1212</v>
      </c>
      <c r="E22" s="17"/>
      <c r="F22" s="17"/>
      <c r="G22" s="17"/>
      <c r="H22" s="17"/>
      <c r="I22" s="17">
        <v>800</v>
      </c>
      <c r="J22" s="17"/>
      <c r="K22" s="17">
        <v>800</v>
      </c>
    </row>
    <row r="23" spans="2:11">
      <c r="B23" t="s">
        <v>1202</v>
      </c>
      <c r="E23" s="17"/>
      <c r="F23" s="17"/>
      <c r="G23" s="17"/>
      <c r="H23" s="17"/>
      <c r="I23" s="17"/>
      <c r="J23" s="17"/>
      <c r="K23" s="17"/>
    </row>
    <row r="24" spans="2:11">
      <c r="C24" t="s">
        <v>1331</v>
      </c>
      <c r="E24" s="17"/>
      <c r="F24" s="17"/>
      <c r="G24" s="17"/>
      <c r="H24" s="17"/>
      <c r="I24" s="17"/>
      <c r="J24" s="17"/>
      <c r="K24" s="17"/>
    </row>
    <row r="25" spans="2:11">
      <c r="D25" t="s">
        <v>1203</v>
      </c>
      <c r="E25" s="17"/>
      <c r="F25" s="17"/>
      <c r="G25" s="17"/>
      <c r="H25" s="17">
        <v>200</v>
      </c>
      <c r="I25" s="17"/>
      <c r="J25" s="17"/>
      <c r="K25" s="17">
        <v>200</v>
      </c>
    </row>
    <row r="26" spans="2:11">
      <c r="D26" t="s">
        <v>1201</v>
      </c>
      <c r="E26" s="17"/>
      <c r="F26" s="17"/>
      <c r="G26" s="17"/>
      <c r="H26" s="17"/>
      <c r="I26" s="17"/>
      <c r="J26" s="17">
        <v>660</v>
      </c>
      <c r="K26" s="17">
        <v>660</v>
      </c>
    </row>
    <row r="27" spans="2:11">
      <c r="C27" t="s">
        <v>1335</v>
      </c>
      <c r="E27" s="17"/>
      <c r="F27" s="17"/>
      <c r="G27" s="17"/>
      <c r="H27" s="17"/>
      <c r="I27" s="17"/>
      <c r="J27" s="17"/>
      <c r="K27" s="17"/>
    </row>
    <row r="28" spans="2:11">
      <c r="D28" t="s">
        <v>1203</v>
      </c>
      <c r="E28" s="17"/>
      <c r="F28" s="17"/>
      <c r="G28" s="17">
        <v>92</v>
      </c>
      <c r="H28" s="17"/>
      <c r="I28" s="17"/>
      <c r="J28" s="17"/>
      <c r="K28" s="17">
        <v>92</v>
      </c>
    </row>
    <row r="29" spans="2:11">
      <c r="D29" t="s">
        <v>1192</v>
      </c>
      <c r="E29" s="17"/>
      <c r="F29" s="17"/>
      <c r="G29" s="17">
        <v>598</v>
      </c>
      <c r="H29" s="17"/>
      <c r="I29" s="17"/>
      <c r="J29" s="17"/>
      <c r="K29" s="17">
        <v>598</v>
      </c>
    </row>
    <row r="30" spans="2:11">
      <c r="D30" t="s">
        <v>1201</v>
      </c>
      <c r="E30" s="17"/>
      <c r="F30" s="17"/>
      <c r="G30" s="17">
        <v>220</v>
      </c>
      <c r="H30" s="17"/>
      <c r="I30" s="17"/>
      <c r="J30" s="17"/>
      <c r="K30" s="17">
        <v>220</v>
      </c>
    </row>
    <row r="31" spans="2:11">
      <c r="D31" t="s">
        <v>1189</v>
      </c>
      <c r="E31" s="17"/>
      <c r="F31" s="17"/>
      <c r="G31" s="17"/>
      <c r="H31" s="17"/>
      <c r="I31" s="17">
        <v>252.5</v>
      </c>
      <c r="J31" s="17"/>
      <c r="K31" s="17">
        <v>252.5</v>
      </c>
    </row>
    <row r="32" spans="2:11">
      <c r="D32" t="s">
        <v>1197</v>
      </c>
      <c r="E32" s="17"/>
      <c r="F32" s="17"/>
      <c r="G32" s="17">
        <v>250</v>
      </c>
      <c r="H32" s="17"/>
      <c r="I32" s="17"/>
      <c r="J32" s="17"/>
      <c r="K32" s="17">
        <v>250</v>
      </c>
    </row>
    <row r="33" spans="2:11">
      <c r="B33" t="s">
        <v>1199</v>
      </c>
      <c r="E33" s="17"/>
      <c r="F33" s="17"/>
      <c r="G33" s="17"/>
      <c r="H33" s="17"/>
      <c r="I33" s="17"/>
      <c r="J33" s="17"/>
      <c r="K33" s="17"/>
    </row>
    <row r="34" spans="2:11">
      <c r="C34" t="s">
        <v>1330</v>
      </c>
      <c r="E34" s="17"/>
      <c r="F34" s="17"/>
      <c r="G34" s="17"/>
      <c r="H34" s="17"/>
      <c r="I34" s="17"/>
      <c r="J34" s="17"/>
      <c r="K34" s="17"/>
    </row>
    <row r="35" spans="2:11">
      <c r="D35" t="s">
        <v>1192</v>
      </c>
      <c r="E35" s="17">
        <v>1400</v>
      </c>
      <c r="F35" s="17"/>
      <c r="G35" s="17"/>
      <c r="H35" s="17"/>
      <c r="I35" s="17"/>
      <c r="J35" s="17"/>
      <c r="K35" s="17">
        <v>1400</v>
      </c>
    </row>
    <row r="36" spans="2:11">
      <c r="D36" t="s">
        <v>1189</v>
      </c>
      <c r="E36" s="17">
        <v>105</v>
      </c>
      <c r="F36" s="17"/>
      <c r="G36" s="17"/>
      <c r="H36" s="17"/>
      <c r="I36" s="17"/>
      <c r="J36" s="17"/>
      <c r="K36" s="17">
        <v>105</v>
      </c>
    </row>
    <row r="37" spans="2:11">
      <c r="C37" t="s">
        <v>1328</v>
      </c>
      <c r="E37" s="17"/>
      <c r="F37" s="17"/>
      <c r="G37" s="17"/>
      <c r="H37" s="17"/>
      <c r="I37" s="17"/>
      <c r="J37" s="17"/>
      <c r="K37" s="17"/>
    </row>
    <row r="38" spans="2:11">
      <c r="D38" t="s">
        <v>1192</v>
      </c>
      <c r="E38" s="17">
        <v>1190</v>
      </c>
      <c r="F38" s="17"/>
      <c r="G38" s="17"/>
      <c r="H38" s="17"/>
      <c r="I38" s="17"/>
      <c r="J38" s="17"/>
      <c r="K38" s="17">
        <v>1190</v>
      </c>
    </row>
    <row r="39" spans="2:11">
      <c r="B39" t="s">
        <v>1073</v>
      </c>
      <c r="E39" s="17"/>
      <c r="F39" s="17"/>
      <c r="G39" s="17"/>
      <c r="H39" s="17"/>
      <c r="I39" s="17"/>
      <c r="J39" s="17"/>
      <c r="K39" s="17"/>
    </row>
    <row r="40" spans="2:11">
      <c r="C40" t="s">
        <v>1332</v>
      </c>
      <c r="E40" s="17"/>
      <c r="F40" s="17"/>
      <c r="G40" s="17"/>
      <c r="H40" s="17"/>
      <c r="I40" s="17"/>
      <c r="J40" s="17"/>
      <c r="K40" s="17"/>
    </row>
    <row r="41" spans="2:11">
      <c r="D41" t="s">
        <v>1203</v>
      </c>
      <c r="E41" s="17"/>
      <c r="F41" s="17">
        <v>184</v>
      </c>
      <c r="G41" s="17"/>
      <c r="H41" s="17"/>
      <c r="I41" s="17"/>
      <c r="J41" s="17"/>
      <c r="K41" s="17">
        <v>184</v>
      </c>
    </row>
    <row r="42" spans="2:11">
      <c r="D42" t="s">
        <v>1189</v>
      </c>
      <c r="E42" s="17">
        <v>865</v>
      </c>
      <c r="F42" s="17"/>
      <c r="G42" s="17"/>
      <c r="H42" s="17"/>
      <c r="I42" s="17"/>
      <c r="J42" s="17"/>
      <c r="K42" s="17">
        <v>865</v>
      </c>
    </row>
    <row r="43" spans="2:11">
      <c r="D43" t="s">
        <v>1210</v>
      </c>
      <c r="E43" s="17"/>
      <c r="F43" s="17"/>
      <c r="G43" s="17"/>
      <c r="H43" s="17">
        <v>280</v>
      </c>
      <c r="I43" s="17"/>
      <c r="J43" s="17"/>
      <c r="K43" s="17">
        <v>280</v>
      </c>
    </row>
    <row r="44" spans="2:11">
      <c r="D44" t="s">
        <v>1197</v>
      </c>
      <c r="E44" s="17"/>
      <c r="F44" s="17"/>
      <c r="G44" s="17"/>
      <c r="H44" s="17">
        <v>3240</v>
      </c>
      <c r="I44" s="17"/>
      <c r="J44" s="17"/>
      <c r="K44" s="17">
        <v>3240</v>
      </c>
    </row>
    <row r="45" spans="2:11">
      <c r="B45" t="s">
        <v>1209</v>
      </c>
      <c r="E45" s="17"/>
      <c r="F45" s="17"/>
      <c r="G45" s="17"/>
      <c r="H45" s="17"/>
      <c r="I45" s="17"/>
      <c r="J45" s="17"/>
      <c r="K45" s="17"/>
    </row>
    <row r="46" spans="2:11">
      <c r="C46" t="s">
        <v>1333</v>
      </c>
      <c r="E46" s="17"/>
      <c r="F46" s="17"/>
      <c r="G46" s="17"/>
      <c r="H46" s="17"/>
      <c r="I46" s="17"/>
      <c r="J46" s="17"/>
      <c r="K46" s="17"/>
    </row>
    <row r="47" spans="2:11">
      <c r="D47" t="s">
        <v>1203</v>
      </c>
      <c r="E47" s="17">
        <v>276</v>
      </c>
      <c r="F47" s="17"/>
      <c r="G47" s="17"/>
      <c r="H47" s="17">
        <v>230</v>
      </c>
      <c r="I47" s="17"/>
      <c r="J47" s="17"/>
      <c r="K47" s="17">
        <v>506</v>
      </c>
    </row>
    <row r="48" spans="2:11">
      <c r="D48" t="s">
        <v>1186</v>
      </c>
      <c r="E48" s="17"/>
      <c r="F48" s="17"/>
      <c r="G48" s="17">
        <v>1275</v>
      </c>
      <c r="H48" s="17"/>
      <c r="I48" s="17"/>
      <c r="J48" s="17">
        <v>510</v>
      </c>
      <c r="K48" s="17">
        <v>1785</v>
      </c>
    </row>
    <row r="49" spans="2:11">
      <c r="D49" t="s">
        <v>1218</v>
      </c>
      <c r="E49" s="17"/>
      <c r="F49" s="17"/>
      <c r="G49" s="17"/>
      <c r="H49" s="17">
        <v>1392</v>
      </c>
      <c r="I49" s="17"/>
      <c r="J49" s="17"/>
      <c r="K49" s="17">
        <v>1392</v>
      </c>
    </row>
    <row r="50" spans="2:11">
      <c r="D50" t="s">
        <v>1212</v>
      </c>
      <c r="E50" s="17"/>
      <c r="F50" s="17"/>
      <c r="G50" s="17"/>
      <c r="H50" s="17">
        <v>1000</v>
      </c>
      <c r="I50" s="17"/>
      <c r="J50" s="17"/>
      <c r="K50" s="17">
        <v>1000</v>
      </c>
    </row>
    <row r="51" spans="2:11">
      <c r="B51" t="s">
        <v>1137</v>
      </c>
      <c r="E51" s="17"/>
      <c r="F51" s="17"/>
      <c r="G51" s="17"/>
      <c r="H51" s="17"/>
      <c r="I51" s="17"/>
      <c r="J51" s="17"/>
      <c r="K51" s="17"/>
    </row>
    <row r="52" spans="2:11">
      <c r="C52" t="s">
        <v>1327</v>
      </c>
      <c r="E52" s="17"/>
      <c r="F52" s="17"/>
      <c r="G52" s="17"/>
      <c r="H52" s="17"/>
      <c r="I52" s="17"/>
      <c r="J52" s="17"/>
      <c r="K52" s="17"/>
    </row>
    <row r="53" spans="2:11">
      <c r="D53" t="s">
        <v>1192</v>
      </c>
      <c r="E53" s="17"/>
      <c r="F53" s="17"/>
      <c r="G53" s="17">
        <v>13800</v>
      </c>
      <c r="H53" s="17"/>
      <c r="I53" s="17"/>
      <c r="J53" s="17">
        <v>230</v>
      </c>
      <c r="K53" s="17">
        <v>14030</v>
      </c>
    </row>
    <row r="54" spans="2:11">
      <c r="D54" t="s">
        <v>1196</v>
      </c>
      <c r="E54" s="17"/>
      <c r="F54" s="17"/>
      <c r="G54" s="17"/>
      <c r="H54" s="17">
        <v>920</v>
      </c>
      <c r="I54" s="17"/>
      <c r="J54" s="17"/>
      <c r="K54" s="17">
        <v>920</v>
      </c>
    </row>
    <row r="55" spans="2:11">
      <c r="D55" t="s">
        <v>1195</v>
      </c>
      <c r="E55" s="17"/>
      <c r="F55" s="17"/>
      <c r="G55" s="17"/>
      <c r="H55" s="17">
        <v>482.5</v>
      </c>
      <c r="I55" s="17"/>
      <c r="J55" s="17"/>
      <c r="K55" s="17">
        <v>482.5</v>
      </c>
    </row>
    <row r="56" spans="2:11">
      <c r="B56" t="s">
        <v>1227</v>
      </c>
      <c r="E56" s="17"/>
      <c r="F56" s="17"/>
      <c r="G56" s="17"/>
      <c r="H56" s="17"/>
      <c r="I56" s="17"/>
      <c r="J56" s="17"/>
      <c r="K56" s="17"/>
    </row>
    <row r="57" spans="2:11">
      <c r="C57" t="s">
        <v>1338</v>
      </c>
      <c r="E57" s="17"/>
      <c r="F57" s="17"/>
      <c r="G57" s="17"/>
      <c r="H57" s="17"/>
      <c r="I57" s="17"/>
      <c r="J57" s="17"/>
      <c r="K57" s="17"/>
    </row>
    <row r="58" spans="2:11">
      <c r="D58" t="s">
        <v>1218</v>
      </c>
      <c r="E58" s="17"/>
      <c r="F58" s="17"/>
      <c r="G58" s="17"/>
      <c r="H58" s="17">
        <v>1740</v>
      </c>
      <c r="I58" s="17"/>
      <c r="J58" s="17"/>
      <c r="K58" s="17">
        <v>1740</v>
      </c>
    </row>
    <row r="59" spans="2:11">
      <c r="D59" t="s">
        <v>1226</v>
      </c>
      <c r="E59" s="17"/>
      <c r="F59" s="17"/>
      <c r="G59" s="17"/>
      <c r="H59" s="17">
        <v>1950</v>
      </c>
      <c r="I59" s="17"/>
      <c r="J59" s="17"/>
      <c r="K59" s="17">
        <v>1950</v>
      </c>
    </row>
    <row r="60" spans="2:11">
      <c r="D60" t="s">
        <v>1195</v>
      </c>
      <c r="E60" s="17"/>
      <c r="F60" s="17"/>
      <c r="G60" s="17"/>
      <c r="H60" s="17"/>
      <c r="I60" s="17"/>
      <c r="J60" s="17">
        <v>96.5</v>
      </c>
      <c r="K60" s="17">
        <v>96.5</v>
      </c>
    </row>
    <row r="61" spans="2:11">
      <c r="B61" t="s">
        <v>1222</v>
      </c>
      <c r="E61" s="17"/>
      <c r="F61" s="17"/>
      <c r="G61" s="17"/>
      <c r="H61" s="17"/>
      <c r="I61" s="17"/>
      <c r="J61" s="17"/>
      <c r="K61" s="17"/>
    </row>
    <row r="62" spans="2:11">
      <c r="C62" t="s">
        <v>1336</v>
      </c>
      <c r="E62" s="17"/>
      <c r="F62" s="17"/>
      <c r="G62" s="17"/>
      <c r="H62" s="17"/>
      <c r="I62" s="17"/>
      <c r="J62" s="17"/>
      <c r="K62" s="17"/>
    </row>
    <row r="63" spans="2:11">
      <c r="D63" t="s">
        <v>1196</v>
      </c>
      <c r="E63" s="17"/>
      <c r="F63" s="17"/>
      <c r="G63" s="17"/>
      <c r="H63" s="17"/>
      <c r="I63" s="17">
        <v>736</v>
      </c>
      <c r="J63" s="17"/>
      <c r="K63" s="17">
        <v>736</v>
      </c>
    </row>
    <row r="64" spans="2:11">
      <c r="B64" t="s">
        <v>1187</v>
      </c>
      <c r="E64" s="17"/>
      <c r="F64" s="17"/>
      <c r="G64" s="17"/>
      <c r="H64" s="17"/>
      <c r="I64" s="17"/>
      <c r="J64" s="17"/>
      <c r="K64" s="17"/>
    </row>
    <row r="65" spans="3:11">
      <c r="C65" t="s">
        <v>1326</v>
      </c>
      <c r="E65" s="17"/>
      <c r="F65" s="17"/>
      <c r="G65" s="17"/>
      <c r="H65" s="17"/>
      <c r="I65" s="17"/>
      <c r="J65" s="17"/>
      <c r="K65" s="17"/>
    </row>
    <row r="66" spans="3:11">
      <c r="D66" t="s">
        <v>1192</v>
      </c>
      <c r="E66" s="17"/>
      <c r="F66" s="17"/>
      <c r="G66" s="17"/>
      <c r="H66" s="17">
        <v>4200</v>
      </c>
      <c r="I66" s="17"/>
      <c r="J66" s="17"/>
      <c r="K66" s="17">
        <v>4200</v>
      </c>
    </row>
    <row r="67" spans="3:11">
      <c r="D67" t="s">
        <v>1186</v>
      </c>
      <c r="E67" s="17"/>
      <c r="F67" s="17"/>
      <c r="G67" s="17"/>
      <c r="H67" s="17">
        <v>127.5</v>
      </c>
      <c r="I67" s="17"/>
      <c r="J67" s="17">
        <v>510</v>
      </c>
      <c r="K67" s="17">
        <v>637.5</v>
      </c>
    </row>
    <row r="68" spans="3:11">
      <c r="D68" t="s">
        <v>1189</v>
      </c>
      <c r="E68" s="17"/>
      <c r="F68" s="17"/>
      <c r="G68" s="17"/>
      <c r="H68" s="17"/>
      <c r="I68" s="17"/>
      <c r="J68" s="17">
        <v>2490</v>
      </c>
      <c r="K68" s="17">
        <v>2490</v>
      </c>
    </row>
    <row r="69" spans="3:11">
      <c r="D69" t="s">
        <v>1212</v>
      </c>
      <c r="E69" s="17"/>
      <c r="F69" s="17"/>
      <c r="G69" s="17">
        <v>680</v>
      </c>
      <c r="H69" s="17"/>
      <c r="I69" s="17"/>
      <c r="J69" s="17"/>
      <c r="K69" s="17">
        <v>680</v>
      </c>
    </row>
    <row r="70" spans="3:11">
      <c r="D70" t="s">
        <v>1347</v>
      </c>
      <c r="E70" s="17">
        <v>276</v>
      </c>
      <c r="F70" s="17">
        <v>184</v>
      </c>
      <c r="G70" s="17">
        <v>92</v>
      </c>
      <c r="H70" s="17">
        <v>430</v>
      </c>
      <c r="I70" s="17"/>
      <c r="J70" s="17"/>
      <c r="K70" s="17">
        <v>982</v>
      </c>
    </row>
    <row r="71" spans="3:11">
      <c r="D71" t="s">
        <v>1311</v>
      </c>
      <c r="E71" s="17">
        <v>1</v>
      </c>
      <c r="F71" s="17">
        <v>1</v>
      </c>
      <c r="G71" s="17">
        <v>1</v>
      </c>
      <c r="H71" s="17">
        <v>2</v>
      </c>
      <c r="I71" s="17"/>
      <c r="J71" s="17"/>
      <c r="K71" s="17">
        <v>5</v>
      </c>
    </row>
    <row r="72" spans="3:11">
      <c r="D72" t="s">
        <v>1339</v>
      </c>
      <c r="E72" s="17">
        <v>2590</v>
      </c>
      <c r="F72" s="17"/>
      <c r="G72" s="17">
        <v>14398</v>
      </c>
      <c r="H72" s="17">
        <v>5418</v>
      </c>
      <c r="I72" s="17"/>
      <c r="J72" s="17">
        <v>230</v>
      </c>
      <c r="K72" s="17">
        <v>22636</v>
      </c>
    </row>
    <row r="73" spans="3:11">
      <c r="D73" t="s">
        <v>1312</v>
      </c>
      <c r="E73" s="17">
        <v>3</v>
      </c>
      <c r="F73" s="17"/>
      <c r="G73" s="17">
        <v>2</v>
      </c>
      <c r="H73" s="17">
        <v>2</v>
      </c>
      <c r="I73" s="17"/>
      <c r="J73" s="17">
        <v>1</v>
      </c>
      <c r="K73" s="17">
        <v>8</v>
      </c>
    </row>
    <row r="74" spans="3:11">
      <c r="D74" t="s">
        <v>1340</v>
      </c>
      <c r="E74" s="17"/>
      <c r="F74" s="17">
        <v>127.5</v>
      </c>
      <c r="G74" s="17">
        <v>1275</v>
      </c>
      <c r="H74" s="17">
        <v>127.5</v>
      </c>
      <c r="I74" s="17"/>
      <c r="J74" s="17">
        <v>1020</v>
      </c>
      <c r="K74" s="17">
        <v>2550</v>
      </c>
    </row>
    <row r="75" spans="3:11">
      <c r="D75" t="s">
        <v>1313</v>
      </c>
      <c r="E75" s="17"/>
      <c r="F75" s="17">
        <v>1</v>
      </c>
      <c r="G75" s="17">
        <v>1</v>
      </c>
      <c r="H75" s="17">
        <v>1</v>
      </c>
      <c r="I75" s="17"/>
      <c r="J75" s="17">
        <v>2</v>
      </c>
      <c r="K75" s="17">
        <v>5</v>
      </c>
    </row>
    <row r="76" spans="3:11">
      <c r="D76" t="s">
        <v>1350</v>
      </c>
      <c r="E76" s="17"/>
      <c r="F76" s="17"/>
      <c r="G76" s="17"/>
      <c r="H76" s="17"/>
      <c r="I76" s="17"/>
      <c r="J76" s="17">
        <v>1560</v>
      </c>
      <c r="K76" s="17">
        <v>1560</v>
      </c>
    </row>
    <row r="77" spans="3:11">
      <c r="D77" t="s">
        <v>1314</v>
      </c>
      <c r="E77" s="17"/>
      <c r="F77" s="17"/>
      <c r="G77" s="17"/>
      <c r="H77" s="17"/>
      <c r="I77" s="17"/>
      <c r="J77" s="17">
        <v>1</v>
      </c>
      <c r="K77" s="17">
        <v>1</v>
      </c>
    </row>
    <row r="78" spans="3:11">
      <c r="D78" t="s">
        <v>1343</v>
      </c>
      <c r="E78" s="17"/>
      <c r="F78" s="17"/>
      <c r="G78" s="17"/>
      <c r="H78" s="17">
        <v>1472</v>
      </c>
      <c r="I78" s="17">
        <v>736</v>
      </c>
      <c r="J78" s="17"/>
      <c r="K78" s="17">
        <v>2208</v>
      </c>
    </row>
    <row r="79" spans="3:11">
      <c r="D79" t="s">
        <v>1315</v>
      </c>
      <c r="E79" s="17"/>
      <c r="F79" s="17"/>
      <c r="G79" s="17"/>
      <c r="H79" s="17">
        <v>2</v>
      </c>
      <c r="I79" s="17">
        <v>1</v>
      </c>
      <c r="J79" s="17"/>
      <c r="K79" s="17">
        <v>3</v>
      </c>
    </row>
    <row r="80" spans="3:11">
      <c r="D80" t="s">
        <v>1348</v>
      </c>
      <c r="E80" s="17"/>
      <c r="F80" s="17"/>
      <c r="G80" s="17">
        <v>220</v>
      </c>
      <c r="H80" s="17">
        <v>500</v>
      </c>
      <c r="I80" s="17"/>
      <c r="J80" s="17">
        <v>660</v>
      </c>
      <c r="K80" s="17">
        <v>1380</v>
      </c>
    </row>
    <row r="81" spans="4:11">
      <c r="D81" t="s">
        <v>1316</v>
      </c>
      <c r="E81" s="17"/>
      <c r="F81" s="17"/>
      <c r="G81" s="17">
        <v>1</v>
      </c>
      <c r="H81" s="17">
        <v>1</v>
      </c>
      <c r="I81" s="17"/>
      <c r="J81" s="17">
        <v>1</v>
      </c>
      <c r="K81" s="17">
        <v>3</v>
      </c>
    </row>
    <row r="82" spans="4:11">
      <c r="D82" t="s">
        <v>1351</v>
      </c>
      <c r="E82" s="17"/>
      <c r="F82" s="17"/>
      <c r="G82" s="17"/>
      <c r="H82" s="17">
        <v>3132</v>
      </c>
      <c r="I82" s="17"/>
      <c r="J82" s="17"/>
      <c r="K82" s="17">
        <v>3132</v>
      </c>
    </row>
    <row r="83" spans="4:11">
      <c r="D83" t="s">
        <v>1317</v>
      </c>
      <c r="E83" s="17"/>
      <c r="F83" s="17"/>
      <c r="G83" s="17"/>
      <c r="H83" s="17">
        <v>2</v>
      </c>
      <c r="I83" s="17"/>
      <c r="J83" s="17"/>
      <c r="K83" s="17">
        <v>2</v>
      </c>
    </row>
    <row r="84" spans="4:11">
      <c r="D84" t="s">
        <v>1341</v>
      </c>
      <c r="E84" s="17">
        <v>970</v>
      </c>
      <c r="F84" s="17"/>
      <c r="G84" s="17"/>
      <c r="H84" s="17"/>
      <c r="I84" s="17">
        <v>252.5</v>
      </c>
      <c r="J84" s="17">
        <v>2490</v>
      </c>
      <c r="K84" s="17">
        <v>3712.5</v>
      </c>
    </row>
    <row r="85" spans="4:11">
      <c r="D85" t="s">
        <v>1318</v>
      </c>
      <c r="E85" s="17">
        <v>4</v>
      </c>
      <c r="F85" s="17"/>
      <c r="G85" s="17"/>
      <c r="H85" s="17"/>
      <c r="I85" s="17">
        <v>2</v>
      </c>
      <c r="J85" s="17">
        <v>2</v>
      </c>
      <c r="K85" s="17">
        <v>8</v>
      </c>
    </row>
    <row r="86" spans="4:11">
      <c r="D86" t="s">
        <v>1349</v>
      </c>
      <c r="E86" s="17"/>
      <c r="F86" s="17"/>
      <c r="G86" s="17"/>
      <c r="H86" s="17">
        <v>280</v>
      </c>
      <c r="I86" s="17"/>
      <c r="J86" s="17"/>
      <c r="K86" s="17">
        <v>280</v>
      </c>
    </row>
    <row r="87" spans="4:11">
      <c r="D87" t="s">
        <v>1319</v>
      </c>
      <c r="E87" s="17"/>
      <c r="F87" s="17"/>
      <c r="G87" s="17"/>
      <c r="H87" s="17">
        <v>1</v>
      </c>
      <c r="I87" s="17"/>
      <c r="J87" s="17"/>
      <c r="K87" s="17">
        <v>1</v>
      </c>
    </row>
    <row r="88" spans="4:11">
      <c r="D88" t="s">
        <v>1345</v>
      </c>
      <c r="E88" s="17"/>
      <c r="F88" s="17"/>
      <c r="G88" s="17">
        <v>250</v>
      </c>
      <c r="H88" s="17">
        <v>3240</v>
      </c>
      <c r="I88" s="17"/>
      <c r="J88" s="17">
        <v>2250</v>
      </c>
      <c r="K88" s="17">
        <v>5740</v>
      </c>
    </row>
    <row r="89" spans="4:11">
      <c r="D89" t="s">
        <v>1320</v>
      </c>
      <c r="E89" s="17"/>
      <c r="F89" s="17"/>
      <c r="G89" s="17">
        <v>1</v>
      </c>
      <c r="H89" s="17">
        <v>1</v>
      </c>
      <c r="I89" s="17"/>
      <c r="J89" s="17">
        <v>1</v>
      </c>
      <c r="K89" s="17">
        <v>3</v>
      </c>
    </row>
    <row r="90" spans="4:11">
      <c r="D90" t="s">
        <v>1346</v>
      </c>
      <c r="E90" s="17"/>
      <c r="F90" s="17"/>
      <c r="G90" s="17"/>
      <c r="H90" s="17">
        <v>533.75</v>
      </c>
      <c r="I90" s="17"/>
      <c r="J90" s="17"/>
      <c r="K90" s="17">
        <v>533.75</v>
      </c>
    </row>
    <row r="91" spans="4:11">
      <c r="D91" t="s">
        <v>1321</v>
      </c>
      <c r="E91" s="17"/>
      <c r="F91" s="17"/>
      <c r="G91" s="17"/>
      <c r="H91" s="17">
        <v>1</v>
      </c>
      <c r="I91" s="17"/>
      <c r="J91" s="17"/>
      <c r="K91" s="17">
        <v>1</v>
      </c>
    </row>
    <row r="92" spans="4:11">
      <c r="D92" t="s">
        <v>1352</v>
      </c>
      <c r="E92" s="17"/>
      <c r="F92" s="17"/>
      <c r="G92" s="17"/>
      <c r="H92" s="17">
        <v>1950</v>
      </c>
      <c r="I92" s="17"/>
      <c r="J92" s="17"/>
      <c r="K92" s="17">
        <v>1950</v>
      </c>
    </row>
    <row r="93" spans="4:11">
      <c r="D93" t="s">
        <v>1322</v>
      </c>
      <c r="E93" s="17"/>
      <c r="F93" s="17"/>
      <c r="G93" s="17"/>
      <c r="H93" s="17">
        <v>1</v>
      </c>
      <c r="I93" s="17"/>
      <c r="J93" s="17"/>
      <c r="K93" s="17">
        <v>1</v>
      </c>
    </row>
    <row r="94" spans="4:11">
      <c r="D94" t="s">
        <v>1342</v>
      </c>
      <c r="E94" s="17"/>
      <c r="F94" s="17"/>
      <c r="G94" s="17">
        <v>680</v>
      </c>
      <c r="H94" s="17">
        <v>1120</v>
      </c>
      <c r="I94" s="17">
        <v>800</v>
      </c>
      <c r="J94" s="17"/>
      <c r="K94" s="17">
        <v>2600</v>
      </c>
    </row>
    <row r="95" spans="4:11">
      <c r="D95" t="s">
        <v>1323</v>
      </c>
      <c r="E95" s="17"/>
      <c r="F95" s="17"/>
      <c r="G95" s="17">
        <v>1</v>
      </c>
      <c r="H95" s="17">
        <v>2</v>
      </c>
      <c r="I95" s="17">
        <v>1</v>
      </c>
      <c r="J95" s="17"/>
      <c r="K95" s="17">
        <v>4</v>
      </c>
    </row>
    <row r="96" spans="4:11">
      <c r="D96" t="s">
        <v>1344</v>
      </c>
      <c r="E96" s="17"/>
      <c r="F96" s="17">
        <v>1930</v>
      </c>
      <c r="G96" s="17"/>
      <c r="H96" s="17">
        <v>772</v>
      </c>
      <c r="I96" s="17"/>
      <c r="J96" s="17">
        <v>96.5</v>
      </c>
      <c r="K96" s="17">
        <v>2798.5</v>
      </c>
    </row>
    <row r="97" spans="2:11">
      <c r="D97" t="s">
        <v>1324</v>
      </c>
      <c r="E97" s="17"/>
      <c r="F97" s="17">
        <v>1</v>
      </c>
      <c r="G97" s="17"/>
      <c r="H97" s="17">
        <v>2</v>
      </c>
      <c r="I97" s="17"/>
      <c r="J97" s="17">
        <v>1</v>
      </c>
      <c r="K97" s="17">
        <v>4</v>
      </c>
    </row>
    <row r="98" spans="2:11">
      <c r="B98" t="s">
        <v>1168</v>
      </c>
      <c r="E98" s="17">
        <v>3836</v>
      </c>
      <c r="F98" s="17">
        <v>2241.5</v>
      </c>
      <c r="G98" s="17">
        <v>16915</v>
      </c>
      <c r="H98" s="17">
        <v>18975.25</v>
      </c>
      <c r="I98" s="17">
        <v>1788.5</v>
      </c>
      <c r="J98" s="17">
        <v>8306.5</v>
      </c>
      <c r="K98" s="17">
        <v>52062.75</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E59D-FE5B-4FF2-8809-82FF10282A49}">
  <sheetPr codeName="Sheet8">
    <tabColor theme="6"/>
  </sheetPr>
  <dimension ref="A11:AD38"/>
  <sheetViews>
    <sheetView topLeftCell="K7" zoomScale="175" zoomScaleNormal="175" workbookViewId="0">
      <selection activeCell="N27" sqref="N27"/>
    </sheetView>
  </sheetViews>
  <sheetFormatPr defaultRowHeight="12.75"/>
  <cols>
    <col min="1" max="1" width="60.1328125" customWidth="1"/>
    <col min="2" max="2" width="48.796875" customWidth="1"/>
    <col min="3" max="3" width="13.1328125" bestFit="1" customWidth="1"/>
    <col min="4" max="4" width="16.33203125" bestFit="1" customWidth="1"/>
    <col min="5" max="5" width="3.73046875" bestFit="1" customWidth="1"/>
    <col min="6" max="6" width="9.73046875" bestFit="1" customWidth="1"/>
    <col min="7" max="7" width="3.73046875" bestFit="1" customWidth="1"/>
    <col min="8" max="8" width="7.3984375" bestFit="1" customWidth="1"/>
    <col min="9" max="9" width="3.73046875" bestFit="1" customWidth="1"/>
    <col min="10" max="10" width="22.19921875" bestFit="1" customWidth="1"/>
    <col min="11" max="11" width="32.06640625" customWidth="1"/>
    <col min="13" max="13" width="9.59765625" customWidth="1"/>
    <col min="14" max="14" width="17.1328125" bestFit="1" customWidth="1"/>
    <col min="15" max="15" width="12.19921875" customWidth="1"/>
    <col min="16" max="16" width="12.1328125" customWidth="1"/>
    <col min="17" max="17" width="9.9296875" customWidth="1"/>
    <col min="18" max="18" width="11.1328125" bestFit="1" customWidth="1"/>
    <col min="24" max="24" width="17.33203125" bestFit="1" customWidth="1"/>
    <col min="25" max="25" width="19.3984375" bestFit="1" customWidth="1"/>
    <col min="26" max="26" width="22.06640625" bestFit="1" customWidth="1"/>
    <col min="27" max="27" width="20.265625" bestFit="1" customWidth="1"/>
    <col min="28" max="28" width="17.46484375" bestFit="1" customWidth="1"/>
    <col min="29" max="29" width="19.73046875" bestFit="1" customWidth="1"/>
    <col min="30" max="30" width="19.53125" bestFit="1" customWidth="1"/>
    <col min="31" max="31" width="7.3984375" bestFit="1" customWidth="1"/>
    <col min="32" max="32" width="27.1328125" bestFit="1" customWidth="1"/>
    <col min="33" max="33" width="21.9296875" bestFit="1" customWidth="1"/>
    <col min="34" max="34" width="9.73046875" bestFit="1" customWidth="1"/>
    <col min="35" max="35" width="7.3984375" bestFit="1" customWidth="1"/>
    <col min="36" max="36" width="25.3984375" bestFit="1" customWidth="1"/>
    <col min="37" max="37" width="19.1328125" bestFit="1" customWidth="1"/>
    <col min="38" max="38" width="9.73046875" bestFit="1" customWidth="1"/>
    <col min="39" max="39" width="7.3984375" bestFit="1" customWidth="1"/>
    <col min="40" max="40" width="22.53125" bestFit="1" customWidth="1"/>
    <col min="41" max="41" width="21.3984375" bestFit="1" customWidth="1"/>
    <col min="42" max="42" width="9.73046875" bestFit="1" customWidth="1"/>
    <col min="43" max="43" width="7.3984375" bestFit="1" customWidth="1"/>
    <col min="44" max="44" width="24.796875" bestFit="1" customWidth="1"/>
    <col min="45" max="45" width="21.19921875" bestFit="1" customWidth="1"/>
    <col min="46" max="46" width="9.73046875" bestFit="1" customWidth="1"/>
    <col min="47" max="47" width="7.3984375" bestFit="1" customWidth="1"/>
    <col min="48" max="48" width="24.59765625" bestFit="1" customWidth="1"/>
  </cols>
  <sheetData>
    <row r="11" spans="1:30" ht="15.4">
      <c r="A11" s="16" t="s">
        <v>1310</v>
      </c>
      <c r="B11" t="s">
        <v>1419</v>
      </c>
    </row>
    <row r="13" spans="1:30">
      <c r="D13" s="1" t="s">
        <v>1397</v>
      </c>
      <c r="N13" s="1" t="s">
        <v>1176</v>
      </c>
      <c r="O13" s="1" t="s">
        <v>1397</v>
      </c>
      <c r="X13" s="1" t="s">
        <v>1176</v>
      </c>
      <c r="Y13" s="1" t="s">
        <v>1397</v>
      </c>
    </row>
    <row r="14" spans="1:30">
      <c r="D14" t="s">
        <v>5</v>
      </c>
      <c r="F14" t="s">
        <v>13</v>
      </c>
      <c r="H14" t="s">
        <v>14</v>
      </c>
      <c r="N14" s="1" t="s">
        <v>1167</v>
      </c>
      <c r="O14" t="s">
        <v>5</v>
      </c>
      <c r="P14" t="s">
        <v>13</v>
      </c>
      <c r="Q14" t="s">
        <v>14</v>
      </c>
      <c r="X14" s="1" t="s">
        <v>1167</v>
      </c>
      <c r="Y14" s="25">
        <v>39938</v>
      </c>
      <c r="Z14" s="25">
        <v>39939</v>
      </c>
      <c r="AA14" s="25">
        <v>39940</v>
      </c>
      <c r="AB14" s="25">
        <v>39941</v>
      </c>
      <c r="AC14" s="25">
        <v>39942</v>
      </c>
      <c r="AD14" s="25">
        <v>39943</v>
      </c>
    </row>
    <row r="15" spans="1:30">
      <c r="B15" t="s">
        <v>1398</v>
      </c>
      <c r="C15" s="1" t="s">
        <v>1167</v>
      </c>
      <c r="D15" t="s">
        <v>1402</v>
      </c>
      <c r="E15" t="s">
        <v>1403</v>
      </c>
      <c r="F15" t="s">
        <v>1402</v>
      </c>
      <c r="G15" t="s">
        <v>1403</v>
      </c>
      <c r="H15" t="s">
        <v>1402</v>
      </c>
      <c r="I15" t="s">
        <v>1403</v>
      </c>
      <c r="K15" s="18" t="s">
        <v>1405</v>
      </c>
      <c r="N15" s="2" t="s">
        <v>6</v>
      </c>
      <c r="O15" s="21">
        <v>284</v>
      </c>
      <c r="P15" s="21">
        <v>609</v>
      </c>
      <c r="Q15" s="21">
        <v>299</v>
      </c>
      <c r="S15" s="18" t="s">
        <v>1410</v>
      </c>
      <c r="W15" s="18" t="s">
        <v>1401</v>
      </c>
      <c r="X15" s="2" t="s">
        <v>5</v>
      </c>
      <c r="Y15" s="21">
        <v>226</v>
      </c>
      <c r="Z15" s="21">
        <v>277</v>
      </c>
      <c r="AA15" s="21">
        <v>363</v>
      </c>
      <c r="AB15" s="21">
        <v>516</v>
      </c>
      <c r="AC15" s="21">
        <v>531</v>
      </c>
      <c r="AD15" s="21">
        <v>365</v>
      </c>
    </row>
    <row r="16" spans="1:30">
      <c r="B16" t="s">
        <v>1399</v>
      </c>
      <c r="C16" s="2" t="s">
        <v>6</v>
      </c>
      <c r="D16">
        <v>284</v>
      </c>
      <c r="E16">
        <v>284</v>
      </c>
      <c r="F16">
        <v>609</v>
      </c>
      <c r="G16">
        <v>609</v>
      </c>
      <c r="H16">
        <v>299</v>
      </c>
      <c r="I16">
        <v>299</v>
      </c>
      <c r="K16" t="s">
        <v>1406</v>
      </c>
      <c r="L16" s="18" t="s">
        <v>1407</v>
      </c>
      <c r="M16" s="21">
        <v>200</v>
      </c>
      <c r="N16" s="2" t="s">
        <v>7</v>
      </c>
      <c r="O16" s="21">
        <v>668</v>
      </c>
      <c r="P16" s="21">
        <v>931</v>
      </c>
      <c r="Q16" s="21">
        <v>620</v>
      </c>
      <c r="T16" s="18" t="s">
        <v>1411</v>
      </c>
      <c r="X16" s="22" t="s">
        <v>6</v>
      </c>
      <c r="Y16" s="23">
        <v>25</v>
      </c>
      <c r="Z16" s="23">
        <v>29</v>
      </c>
      <c r="AA16" s="23">
        <v>40</v>
      </c>
      <c r="AB16" s="23">
        <v>55</v>
      </c>
      <c r="AC16" s="23">
        <v>70</v>
      </c>
      <c r="AD16" s="23">
        <v>65</v>
      </c>
    </row>
    <row r="17" spans="2:30">
      <c r="C17" s="2" t="s">
        <v>7</v>
      </c>
      <c r="D17">
        <v>668</v>
      </c>
      <c r="E17">
        <v>668</v>
      </c>
      <c r="F17">
        <v>931</v>
      </c>
      <c r="G17">
        <v>931</v>
      </c>
      <c r="H17">
        <v>620</v>
      </c>
      <c r="I17">
        <v>620</v>
      </c>
      <c r="L17" s="24" t="s">
        <v>1409</v>
      </c>
      <c r="M17" s="21">
        <v>400</v>
      </c>
      <c r="N17" s="2" t="s">
        <v>8</v>
      </c>
      <c r="O17" s="21">
        <v>206</v>
      </c>
      <c r="P17" s="21">
        <v>419</v>
      </c>
      <c r="Q17" s="21">
        <v>207</v>
      </c>
      <c r="T17" s="18" t="s">
        <v>1412</v>
      </c>
      <c r="X17" s="22" t="s">
        <v>7</v>
      </c>
      <c r="Y17" s="23">
        <v>88</v>
      </c>
      <c r="Z17" s="23">
        <v>94</v>
      </c>
      <c r="AA17" s="23">
        <v>102</v>
      </c>
      <c r="AB17" s="23">
        <v>148</v>
      </c>
      <c r="AC17" s="23">
        <v>160</v>
      </c>
      <c r="AD17" s="23">
        <v>76</v>
      </c>
    </row>
    <row r="18" spans="2:30">
      <c r="B18" t="s">
        <v>1400</v>
      </c>
      <c r="C18" s="2" t="s">
        <v>8</v>
      </c>
      <c r="D18">
        <v>206</v>
      </c>
      <c r="E18">
        <v>206</v>
      </c>
      <c r="F18">
        <v>419</v>
      </c>
      <c r="G18">
        <v>419</v>
      </c>
      <c r="H18">
        <v>207</v>
      </c>
      <c r="I18">
        <v>207</v>
      </c>
      <c r="L18" s="24" t="s">
        <v>1408</v>
      </c>
      <c r="N18" s="2" t="s">
        <v>9</v>
      </c>
      <c r="O18" s="21">
        <v>564</v>
      </c>
      <c r="P18" s="21">
        <v>883</v>
      </c>
      <c r="Q18" s="21">
        <v>567</v>
      </c>
      <c r="T18" s="18" t="s">
        <v>1413</v>
      </c>
      <c r="X18" s="22" t="s">
        <v>8</v>
      </c>
      <c r="Y18" s="23">
        <v>5</v>
      </c>
      <c r="Z18" s="23">
        <v>9</v>
      </c>
      <c r="AA18" s="23">
        <v>12</v>
      </c>
      <c r="AB18" s="23">
        <v>48</v>
      </c>
      <c r="AC18" s="23">
        <v>60</v>
      </c>
      <c r="AD18" s="23">
        <v>72</v>
      </c>
    </row>
    <row r="19" spans="2:30">
      <c r="B19" t="s">
        <v>1404</v>
      </c>
      <c r="C19" s="2" t="s">
        <v>9</v>
      </c>
      <c r="D19">
        <v>564</v>
      </c>
      <c r="E19">
        <v>564</v>
      </c>
      <c r="F19">
        <v>883</v>
      </c>
      <c r="G19">
        <v>883</v>
      </c>
      <c r="H19">
        <v>567</v>
      </c>
      <c r="I19">
        <v>567</v>
      </c>
      <c r="N19" s="2" t="s">
        <v>10</v>
      </c>
      <c r="O19" s="21">
        <v>160</v>
      </c>
      <c r="P19" s="21">
        <v>470</v>
      </c>
      <c r="Q19" s="21">
        <v>238</v>
      </c>
      <c r="X19" s="22" t="s">
        <v>9</v>
      </c>
      <c r="Y19" s="23">
        <v>52</v>
      </c>
      <c r="Z19" s="23">
        <v>77</v>
      </c>
      <c r="AA19" s="23">
        <v>102</v>
      </c>
      <c r="AB19" s="23">
        <v>146</v>
      </c>
      <c r="AC19" s="23">
        <v>122</v>
      </c>
      <c r="AD19" s="23">
        <v>65</v>
      </c>
    </row>
    <row r="20" spans="2:30">
      <c r="C20" s="2" t="s">
        <v>10</v>
      </c>
      <c r="D20">
        <v>160</v>
      </c>
      <c r="E20">
        <v>160</v>
      </c>
      <c r="F20">
        <v>470</v>
      </c>
      <c r="G20">
        <v>470</v>
      </c>
      <c r="H20">
        <v>238</v>
      </c>
      <c r="I20">
        <v>238</v>
      </c>
      <c r="N20" s="2" t="s">
        <v>11</v>
      </c>
      <c r="O20" s="21">
        <v>58</v>
      </c>
      <c r="P20" s="21">
        <v>156</v>
      </c>
      <c r="Q20" s="21">
        <v>80</v>
      </c>
      <c r="X20" s="22" t="s">
        <v>10</v>
      </c>
      <c r="Y20" s="23">
        <v>28</v>
      </c>
      <c r="Z20" s="23">
        <v>19</v>
      </c>
      <c r="AA20" s="23">
        <v>23</v>
      </c>
      <c r="AB20" s="23">
        <v>22</v>
      </c>
      <c r="AC20" s="23">
        <v>32</v>
      </c>
      <c r="AD20" s="23">
        <v>36</v>
      </c>
    </row>
    <row r="21" spans="2:30">
      <c r="C21" s="2" t="s">
        <v>11</v>
      </c>
      <c r="D21">
        <v>58</v>
      </c>
      <c r="E21">
        <v>58</v>
      </c>
      <c r="F21">
        <v>156</v>
      </c>
      <c r="G21">
        <v>156</v>
      </c>
      <c r="H21">
        <v>80</v>
      </c>
      <c r="I21">
        <v>80</v>
      </c>
      <c r="N21" s="2" t="s">
        <v>12</v>
      </c>
      <c r="O21" s="21">
        <v>338</v>
      </c>
      <c r="P21" s="21">
        <v>622</v>
      </c>
      <c r="Q21" s="21">
        <v>384</v>
      </c>
      <c r="X21" s="22" t="s">
        <v>11</v>
      </c>
      <c r="Y21" s="23">
        <v>5</v>
      </c>
      <c r="Z21" s="23">
        <v>7</v>
      </c>
      <c r="AA21" s="23">
        <v>7</v>
      </c>
      <c r="AB21" s="23">
        <v>11</v>
      </c>
      <c r="AC21" s="23">
        <v>13</v>
      </c>
      <c r="AD21" s="23">
        <v>15</v>
      </c>
    </row>
    <row r="22" spans="2:30">
      <c r="C22" s="2" t="s">
        <v>12</v>
      </c>
      <c r="D22">
        <v>338</v>
      </c>
      <c r="E22">
        <v>338</v>
      </c>
      <c r="F22">
        <v>622</v>
      </c>
      <c r="G22">
        <v>622</v>
      </c>
      <c r="H22">
        <v>384</v>
      </c>
      <c r="I22">
        <v>384</v>
      </c>
      <c r="X22" s="22" t="s">
        <v>12</v>
      </c>
      <c r="Y22" s="23">
        <v>23</v>
      </c>
      <c r="Z22" s="23">
        <v>42</v>
      </c>
      <c r="AA22" s="23">
        <v>77</v>
      </c>
      <c r="AB22" s="23">
        <v>86</v>
      </c>
      <c r="AC22" s="23">
        <v>74</v>
      </c>
      <c r="AD22" s="23">
        <v>36</v>
      </c>
    </row>
    <row r="23" spans="2:30">
      <c r="X23" s="2" t="s">
        <v>13</v>
      </c>
      <c r="Y23" s="21">
        <v>426</v>
      </c>
      <c r="Z23" s="21">
        <v>594</v>
      </c>
      <c r="AA23" s="21">
        <v>720</v>
      </c>
      <c r="AB23" s="21">
        <v>842</v>
      </c>
      <c r="AC23" s="21">
        <v>886</v>
      </c>
      <c r="AD23" s="21">
        <v>622</v>
      </c>
    </row>
    <row r="24" spans="2:30">
      <c r="X24" s="22" t="s">
        <v>6</v>
      </c>
      <c r="Y24" s="23">
        <v>50</v>
      </c>
      <c r="Z24" s="23">
        <v>79</v>
      </c>
      <c r="AA24" s="23">
        <v>80</v>
      </c>
      <c r="AB24" s="23">
        <v>120</v>
      </c>
      <c r="AC24" s="23">
        <v>150</v>
      </c>
      <c r="AD24" s="23">
        <v>130</v>
      </c>
    </row>
    <row r="25" spans="2:30">
      <c r="X25" s="22" t="s">
        <v>7</v>
      </c>
      <c r="Y25" s="23">
        <v>126</v>
      </c>
      <c r="Z25" s="23">
        <v>140</v>
      </c>
      <c r="AA25" s="23">
        <v>158</v>
      </c>
      <c r="AB25" s="23">
        <v>177</v>
      </c>
      <c r="AC25" s="23">
        <v>200</v>
      </c>
      <c r="AD25" s="23">
        <v>130</v>
      </c>
    </row>
    <row r="26" spans="2:30">
      <c r="X26" s="22" t="s">
        <v>8</v>
      </c>
      <c r="Y26" s="23">
        <v>44</v>
      </c>
      <c r="Z26" s="23">
        <v>62</v>
      </c>
      <c r="AA26" s="23">
        <v>99</v>
      </c>
      <c r="AB26" s="23">
        <v>82</v>
      </c>
      <c r="AC26" s="23">
        <v>76</v>
      </c>
      <c r="AD26" s="23">
        <v>56</v>
      </c>
    </row>
    <row r="27" spans="2:30">
      <c r="X27" s="22" t="s">
        <v>9</v>
      </c>
      <c r="Y27" s="23">
        <v>88</v>
      </c>
      <c r="Z27" s="23">
        <v>144</v>
      </c>
      <c r="AA27" s="23">
        <v>180</v>
      </c>
      <c r="AB27" s="23">
        <v>196</v>
      </c>
      <c r="AC27" s="23">
        <v>163</v>
      </c>
      <c r="AD27" s="23">
        <v>112</v>
      </c>
    </row>
    <row r="28" spans="2:30">
      <c r="X28" s="22" t="s">
        <v>10</v>
      </c>
      <c r="Y28" s="23">
        <v>48</v>
      </c>
      <c r="Z28" s="23">
        <v>64</v>
      </c>
      <c r="AA28" s="23">
        <v>72</v>
      </c>
      <c r="AB28" s="23">
        <v>94</v>
      </c>
      <c r="AC28" s="23">
        <v>106</v>
      </c>
      <c r="AD28" s="23">
        <v>86</v>
      </c>
    </row>
    <row r="29" spans="2:30">
      <c r="X29" s="22" t="s">
        <v>11</v>
      </c>
      <c r="Y29" s="23">
        <v>16</v>
      </c>
      <c r="Z29" s="23">
        <v>17</v>
      </c>
      <c r="AA29" s="23">
        <v>19</v>
      </c>
      <c r="AB29" s="23">
        <v>29</v>
      </c>
      <c r="AC29" s="23">
        <v>31</v>
      </c>
      <c r="AD29" s="23">
        <v>44</v>
      </c>
    </row>
    <row r="30" spans="2:30">
      <c r="X30" s="22" t="s">
        <v>12</v>
      </c>
      <c r="Y30" s="23">
        <v>54</v>
      </c>
      <c r="Z30" s="23">
        <v>88</v>
      </c>
      <c r="AA30" s="23">
        <v>112</v>
      </c>
      <c r="AB30" s="23">
        <v>144</v>
      </c>
      <c r="AC30" s="23">
        <v>160</v>
      </c>
      <c r="AD30" s="23">
        <v>64</v>
      </c>
    </row>
    <row r="31" spans="2:30">
      <c r="X31" s="2" t="s">
        <v>14</v>
      </c>
      <c r="Y31" s="21">
        <v>205</v>
      </c>
      <c r="Z31" s="21">
        <v>323</v>
      </c>
      <c r="AA31" s="21">
        <v>478</v>
      </c>
      <c r="AB31" s="21">
        <v>550</v>
      </c>
      <c r="AC31" s="21">
        <v>503</v>
      </c>
      <c r="AD31" s="21">
        <v>336</v>
      </c>
    </row>
    <row r="32" spans="2:30">
      <c r="X32" s="22" t="s">
        <v>6</v>
      </c>
      <c r="Y32" s="23">
        <v>20</v>
      </c>
      <c r="Z32" s="23">
        <v>43</v>
      </c>
      <c r="AA32" s="23">
        <v>45</v>
      </c>
      <c r="AB32" s="23">
        <v>50</v>
      </c>
      <c r="AC32" s="23">
        <v>61</v>
      </c>
      <c r="AD32" s="23">
        <v>80</v>
      </c>
    </row>
    <row r="33" spans="24:30">
      <c r="X33" s="22" t="s">
        <v>7</v>
      </c>
      <c r="Y33" s="23">
        <v>75</v>
      </c>
      <c r="Z33" s="23">
        <v>80</v>
      </c>
      <c r="AA33" s="23">
        <v>122</v>
      </c>
      <c r="AB33" s="23">
        <v>135</v>
      </c>
      <c r="AC33" s="23">
        <v>144</v>
      </c>
      <c r="AD33" s="23">
        <v>64</v>
      </c>
    </row>
    <row r="34" spans="24:30">
      <c r="X34" s="22" t="s">
        <v>8</v>
      </c>
      <c r="Y34" s="23">
        <v>22</v>
      </c>
      <c r="Z34" s="23">
        <v>30</v>
      </c>
      <c r="AA34" s="23">
        <v>65</v>
      </c>
      <c r="AB34" s="23">
        <v>40</v>
      </c>
      <c r="AC34" s="23">
        <v>30</v>
      </c>
      <c r="AD34" s="23">
        <v>20</v>
      </c>
    </row>
    <row r="35" spans="24:30">
      <c r="X35" s="22" t="s">
        <v>9</v>
      </c>
      <c r="Y35" s="23">
        <v>30</v>
      </c>
      <c r="Z35" s="23">
        <v>90</v>
      </c>
      <c r="AA35" s="23">
        <v>120</v>
      </c>
      <c r="AB35" s="23">
        <v>154</v>
      </c>
      <c r="AC35" s="23">
        <v>96</v>
      </c>
      <c r="AD35" s="23">
        <v>77</v>
      </c>
    </row>
    <row r="36" spans="24:30">
      <c r="X36" s="22" t="s">
        <v>10</v>
      </c>
      <c r="Y36" s="23">
        <v>26</v>
      </c>
      <c r="Z36" s="23">
        <v>26</v>
      </c>
      <c r="AA36" s="23">
        <v>30</v>
      </c>
      <c r="AB36" s="23">
        <v>62</v>
      </c>
      <c r="AC36" s="23">
        <v>54</v>
      </c>
      <c r="AD36" s="23">
        <v>40</v>
      </c>
    </row>
    <row r="37" spans="24:30">
      <c r="X37" s="22" t="s">
        <v>11</v>
      </c>
      <c r="Y37" s="23">
        <v>6</v>
      </c>
      <c r="Z37" s="23">
        <v>10</v>
      </c>
      <c r="AA37" s="23">
        <v>11</v>
      </c>
      <c r="AB37" s="23">
        <v>13</v>
      </c>
      <c r="AC37" s="23">
        <v>18</v>
      </c>
      <c r="AD37" s="23">
        <v>22</v>
      </c>
    </row>
    <row r="38" spans="24:30">
      <c r="X38" s="22" t="s">
        <v>12</v>
      </c>
      <c r="Y38" s="23">
        <v>26</v>
      </c>
      <c r="Z38" s="23">
        <v>44</v>
      </c>
      <c r="AA38" s="23">
        <v>85</v>
      </c>
      <c r="AB38" s="23">
        <v>96</v>
      </c>
      <c r="AC38" s="23">
        <v>100</v>
      </c>
      <c r="AD38" s="23">
        <v>33</v>
      </c>
    </row>
  </sheetData>
  <conditionalFormatting pivot="1" sqref="E16:E22 G16:G22 I16:I22">
    <cfRule type="dataBar" priority="12">
      <dataBar showValue="0">
        <cfvo type="min"/>
        <cfvo type="max"/>
        <color rgb="FF638EC6"/>
      </dataBar>
      <extLst>
        <ext xmlns:x14="http://schemas.microsoft.com/office/spreadsheetml/2009/9/main" uri="{B025F937-C7B1-47D3-B67F-A62EFF666E3E}">
          <x14:id>{9082121B-2469-420F-8CFA-22F48854419A}</x14:id>
        </ext>
      </extLst>
    </cfRule>
  </conditionalFormatting>
  <conditionalFormatting pivot="1" sqref="Y16:AD22 Y24:AD30 Y32:AD38">
    <cfRule type="colorScale" priority="6">
      <colorScale>
        <cfvo type="min"/>
        <cfvo type="max"/>
        <color theme="2"/>
        <color rgb="FF92D050"/>
      </colorScale>
    </cfRule>
  </conditionalFormatting>
  <conditionalFormatting pivot="1" sqref="O15:Q21">
    <cfRule type="iconSet" priority="5">
      <iconSet>
        <cfvo type="percent" val="0"/>
        <cfvo type="num" val="$M$16"/>
        <cfvo type="num" val="$M$17"/>
      </iconSet>
    </cfRule>
  </conditionalFormatting>
  <pageMargins left="0.7" right="0.7" top="0.75" bottom="0.75" header="0.3" footer="0.3"/>
  <pageSetup orientation="portrait" r:id="rId4"/>
  <drawing r:id="rId5"/>
  <extLst>
    <ext xmlns:x14="http://schemas.microsoft.com/office/spreadsheetml/2009/9/main" uri="{78C0D931-6437-407d-A8EE-F0AAD7539E65}">
      <x14:conditionalFormattings>
        <x14:conditionalFormatting xmlns:xm="http://schemas.microsoft.com/office/excel/2006/main" pivot="1">
          <x14:cfRule type="dataBar" id="{9082121B-2469-420F-8CFA-22F48854419A}">
            <x14:dataBar minLength="0" maxLength="100" gradient="0">
              <x14:cfvo type="autoMin"/>
              <x14:cfvo type="autoMax"/>
              <x14:negativeFillColor rgb="FFFF0000"/>
              <x14:axisColor rgb="FF000000"/>
            </x14:dataBar>
          </x14:cfRule>
          <xm:sqref>E16:E22 G16:G22 I16:I22</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12D58-EABE-4353-A2B0-57E75AD7D402}">
  <sheetPr>
    <tabColor theme="6"/>
  </sheetPr>
  <dimension ref="A11:AK38"/>
  <sheetViews>
    <sheetView tabSelected="1" topLeftCell="N12" zoomScale="175" zoomScaleNormal="175" workbookViewId="0">
      <selection activeCell="T18" sqref="T18"/>
    </sheetView>
  </sheetViews>
  <sheetFormatPr defaultRowHeight="12.75"/>
  <cols>
    <col min="1" max="1" width="60.1328125" customWidth="1"/>
    <col min="2" max="2" width="48.796875" customWidth="1"/>
    <col min="3" max="3" width="13.1328125" bestFit="1" customWidth="1"/>
    <col min="4" max="4" width="16.33203125" bestFit="1" customWidth="1"/>
    <col min="5" max="5" width="3.73046875" bestFit="1" customWidth="1"/>
    <col min="6" max="6" width="9.73046875" bestFit="1" customWidth="1"/>
    <col min="7" max="7" width="3.73046875" bestFit="1" customWidth="1"/>
    <col min="8" max="8" width="7.3984375" bestFit="1" customWidth="1"/>
    <col min="9" max="9" width="3.73046875" bestFit="1" customWidth="1"/>
    <col min="10" max="10" width="22.19921875" bestFit="1" customWidth="1"/>
    <col min="11" max="13" width="32.06640625" customWidth="1"/>
    <col min="15" max="16" width="9.59765625" customWidth="1"/>
    <col min="17" max="17" width="17.1328125" bestFit="1" customWidth="1"/>
    <col min="18" max="18" width="12.19921875" customWidth="1"/>
    <col min="19" max="19" width="12.1328125" customWidth="1"/>
    <col min="20" max="20" width="9.9296875" customWidth="1"/>
    <col min="21" max="21" width="11.1328125" bestFit="1" customWidth="1"/>
    <col min="22" max="25" width="11.1328125" customWidth="1"/>
    <col min="31" max="31" width="17.33203125" bestFit="1" customWidth="1"/>
    <col min="32" max="32" width="19.3984375" bestFit="1" customWidth="1"/>
    <col min="33" max="33" width="22.06640625" bestFit="1" customWidth="1"/>
    <col min="34" max="34" width="20.265625" bestFit="1" customWidth="1"/>
    <col min="35" max="35" width="17.46484375" bestFit="1" customWidth="1"/>
    <col min="36" max="36" width="19.73046875" bestFit="1" customWidth="1"/>
    <col min="37" max="37" width="19.53125" bestFit="1" customWidth="1"/>
    <col min="38" max="38" width="7.3984375" bestFit="1" customWidth="1"/>
    <col min="39" max="39" width="27.1328125" bestFit="1" customWidth="1"/>
    <col min="40" max="40" width="21.9296875" bestFit="1" customWidth="1"/>
    <col min="41" max="41" width="9.73046875" bestFit="1" customWidth="1"/>
    <col min="42" max="42" width="7.3984375" bestFit="1" customWidth="1"/>
    <col min="43" max="43" width="25.3984375" bestFit="1" customWidth="1"/>
    <col min="44" max="44" width="19.1328125" bestFit="1" customWidth="1"/>
    <col min="45" max="45" width="9.73046875" bestFit="1" customWidth="1"/>
    <col min="46" max="46" width="7.3984375" bestFit="1" customWidth="1"/>
    <col min="47" max="47" width="22.53125" bestFit="1" customWidth="1"/>
    <col min="48" max="48" width="21.3984375" bestFit="1" customWidth="1"/>
    <col min="49" max="49" width="9.73046875" bestFit="1" customWidth="1"/>
    <col min="50" max="50" width="7.3984375" bestFit="1" customWidth="1"/>
    <col min="51" max="51" width="24.796875" bestFit="1" customWidth="1"/>
    <col min="52" max="52" width="21.19921875" bestFit="1" customWidth="1"/>
    <col min="53" max="53" width="9.73046875" bestFit="1" customWidth="1"/>
    <col min="54" max="54" width="7.3984375" bestFit="1" customWidth="1"/>
    <col min="55" max="55" width="24.59765625" bestFit="1" customWidth="1"/>
  </cols>
  <sheetData>
    <row r="11" spans="1:37" ht="15.4">
      <c r="A11" s="16" t="s">
        <v>1310</v>
      </c>
      <c r="B11" t="s">
        <v>1419</v>
      </c>
    </row>
    <row r="13" spans="1:37">
      <c r="D13" t="s">
        <v>1397</v>
      </c>
      <c r="AE13" t="s">
        <v>1176</v>
      </c>
      <c r="AF13" t="s">
        <v>1397</v>
      </c>
    </row>
    <row r="14" spans="1:37">
      <c r="D14" t="s">
        <v>5</v>
      </c>
      <c r="F14" t="s">
        <v>13</v>
      </c>
      <c r="H14" t="s">
        <v>14</v>
      </c>
      <c r="AE14" t="s">
        <v>1167</v>
      </c>
      <c r="AF14" s="25">
        <v>39938</v>
      </c>
      <c r="AG14" s="25">
        <v>39939</v>
      </c>
      <c r="AH14" s="25">
        <v>39940</v>
      </c>
      <c r="AI14" s="25">
        <v>39941</v>
      </c>
      <c r="AJ14" s="25">
        <v>39942</v>
      </c>
      <c r="AK14" s="25">
        <v>39943</v>
      </c>
    </row>
    <row r="15" spans="1:37">
      <c r="B15" t="s">
        <v>1398</v>
      </c>
      <c r="C15" t="s">
        <v>1167</v>
      </c>
      <c r="D15" t="s">
        <v>1402</v>
      </c>
      <c r="E15" t="s">
        <v>1403</v>
      </c>
      <c r="F15" t="s">
        <v>1402</v>
      </c>
      <c r="G15" t="s">
        <v>1403</v>
      </c>
      <c r="H15" t="s">
        <v>1402</v>
      </c>
      <c r="I15" t="s">
        <v>1403</v>
      </c>
      <c r="K15" s="18" t="s">
        <v>1405</v>
      </c>
      <c r="L15" s="18"/>
      <c r="M15" s="18"/>
      <c r="S15" s="21" t="s">
        <v>1421</v>
      </c>
      <c r="Z15" s="18" t="s">
        <v>1410</v>
      </c>
      <c r="AD15" s="18" t="s">
        <v>1401</v>
      </c>
      <c r="AE15" s="2" t="s">
        <v>5</v>
      </c>
      <c r="AF15" s="21">
        <v>226</v>
      </c>
      <c r="AG15" s="21">
        <v>277</v>
      </c>
      <c r="AH15" s="21">
        <v>363</v>
      </c>
      <c r="AI15" s="21">
        <v>516</v>
      </c>
      <c r="AJ15" s="21">
        <v>531</v>
      </c>
      <c r="AK15" s="21">
        <v>365</v>
      </c>
    </row>
    <row r="16" spans="1:37">
      <c r="B16" t="s">
        <v>1399</v>
      </c>
      <c r="C16" s="2" t="s">
        <v>6</v>
      </c>
      <c r="D16">
        <v>284</v>
      </c>
      <c r="E16">
        <v>284</v>
      </c>
      <c r="F16">
        <v>609</v>
      </c>
      <c r="G16">
        <v>609</v>
      </c>
      <c r="H16">
        <v>299</v>
      </c>
      <c r="I16">
        <v>299</v>
      </c>
      <c r="K16" t="s">
        <v>1406</v>
      </c>
      <c r="AA16" s="18" t="s">
        <v>1411</v>
      </c>
      <c r="AE16" s="22" t="s">
        <v>6</v>
      </c>
      <c r="AF16" s="23">
        <v>25</v>
      </c>
      <c r="AG16" s="23">
        <v>29</v>
      </c>
      <c r="AH16" s="23">
        <v>40</v>
      </c>
      <c r="AI16" s="23">
        <v>55</v>
      </c>
      <c r="AJ16" s="23">
        <v>70</v>
      </c>
      <c r="AK16" s="23">
        <v>65</v>
      </c>
    </row>
    <row r="17" spans="2:37">
      <c r="C17" s="2" t="s">
        <v>7</v>
      </c>
      <c r="D17">
        <v>668</v>
      </c>
      <c r="E17">
        <v>668</v>
      </c>
      <c r="F17">
        <v>931</v>
      </c>
      <c r="G17">
        <v>931</v>
      </c>
      <c r="H17">
        <v>620</v>
      </c>
      <c r="I17">
        <v>620</v>
      </c>
      <c r="R17" s="18" t="s">
        <v>1407</v>
      </c>
      <c r="S17" s="21">
        <v>200</v>
      </c>
      <c r="AA17" s="18" t="s">
        <v>1412</v>
      </c>
      <c r="AE17" s="22" t="s">
        <v>7</v>
      </c>
      <c r="AF17" s="23">
        <v>88</v>
      </c>
      <c r="AG17" s="23">
        <v>94</v>
      </c>
      <c r="AH17" s="23">
        <v>102</v>
      </c>
      <c r="AI17" s="23">
        <v>148</v>
      </c>
      <c r="AJ17" s="23">
        <v>160</v>
      </c>
      <c r="AK17" s="23">
        <v>76</v>
      </c>
    </row>
    <row r="18" spans="2:37">
      <c r="B18" t="s">
        <v>1400</v>
      </c>
      <c r="C18" s="2" t="s">
        <v>8</v>
      </c>
      <c r="D18">
        <v>206</v>
      </c>
      <c r="E18">
        <v>206</v>
      </c>
      <c r="F18">
        <v>419</v>
      </c>
      <c r="G18">
        <v>419</v>
      </c>
      <c r="H18">
        <v>207</v>
      </c>
      <c r="I18">
        <v>207</v>
      </c>
      <c r="R18" s="24" t="s">
        <v>1409</v>
      </c>
      <c r="S18" s="21">
        <v>400</v>
      </c>
      <c r="AA18" s="18" t="s">
        <v>1413</v>
      </c>
      <c r="AE18" s="22" t="s">
        <v>8</v>
      </c>
      <c r="AF18" s="23">
        <v>5</v>
      </c>
      <c r="AG18" s="23">
        <v>9</v>
      </c>
      <c r="AH18" s="23">
        <v>12</v>
      </c>
      <c r="AI18" s="23">
        <v>48</v>
      </c>
      <c r="AJ18" s="23">
        <v>60</v>
      </c>
      <c r="AK18" s="23">
        <v>72</v>
      </c>
    </row>
    <row r="19" spans="2:37">
      <c r="B19" t="s">
        <v>1404</v>
      </c>
      <c r="C19" s="2" t="s">
        <v>9</v>
      </c>
      <c r="D19">
        <v>564</v>
      </c>
      <c r="E19">
        <v>564</v>
      </c>
      <c r="F19">
        <v>883</v>
      </c>
      <c r="G19">
        <v>883</v>
      </c>
      <c r="H19">
        <v>567</v>
      </c>
      <c r="I19">
        <v>567</v>
      </c>
      <c r="R19" s="24" t="s">
        <v>1408</v>
      </c>
      <c r="AE19" s="22" t="s">
        <v>9</v>
      </c>
      <c r="AF19" s="23">
        <v>52</v>
      </c>
      <c r="AG19" s="23">
        <v>77</v>
      </c>
      <c r="AH19" s="23">
        <v>102</v>
      </c>
      <c r="AI19" s="23">
        <v>146</v>
      </c>
      <c r="AJ19" s="23">
        <v>122</v>
      </c>
      <c r="AK19" s="23">
        <v>65</v>
      </c>
    </row>
    <row r="20" spans="2:37">
      <c r="C20" s="2" t="s">
        <v>10</v>
      </c>
      <c r="D20">
        <v>160</v>
      </c>
      <c r="E20">
        <v>160</v>
      </c>
      <c r="F20">
        <v>470</v>
      </c>
      <c r="G20">
        <v>470</v>
      </c>
      <c r="H20">
        <v>238</v>
      </c>
      <c r="I20">
        <v>238</v>
      </c>
      <c r="AE20" s="22" t="s">
        <v>10</v>
      </c>
      <c r="AF20" s="23">
        <v>28</v>
      </c>
      <c r="AG20" s="23">
        <v>19</v>
      </c>
      <c r="AH20" s="23">
        <v>23</v>
      </c>
      <c r="AI20" s="23">
        <v>22</v>
      </c>
      <c r="AJ20" s="23">
        <v>32</v>
      </c>
      <c r="AK20" s="23">
        <v>36</v>
      </c>
    </row>
    <row r="21" spans="2:37">
      <c r="C21" s="2" t="s">
        <v>11</v>
      </c>
      <c r="D21">
        <v>58</v>
      </c>
      <c r="E21">
        <v>58</v>
      </c>
      <c r="F21">
        <v>156</v>
      </c>
      <c r="G21">
        <v>156</v>
      </c>
      <c r="H21">
        <v>80</v>
      </c>
      <c r="I21">
        <v>80</v>
      </c>
      <c r="AE21" s="22" t="s">
        <v>11</v>
      </c>
      <c r="AF21" s="23">
        <v>5</v>
      </c>
      <c r="AG21" s="23">
        <v>7</v>
      </c>
      <c r="AH21" s="23">
        <v>7</v>
      </c>
      <c r="AI21" s="23">
        <v>11</v>
      </c>
      <c r="AJ21" s="23">
        <v>13</v>
      </c>
      <c r="AK21" s="23">
        <v>15</v>
      </c>
    </row>
    <row r="22" spans="2:37">
      <c r="C22" s="2" t="s">
        <v>12</v>
      </c>
      <c r="D22">
        <v>338</v>
      </c>
      <c r="E22">
        <v>338</v>
      </c>
      <c r="F22">
        <v>622</v>
      </c>
      <c r="G22">
        <v>622</v>
      </c>
      <c r="H22">
        <v>384</v>
      </c>
      <c r="I22">
        <v>384</v>
      </c>
      <c r="Q22" t="s">
        <v>1176</v>
      </c>
      <c r="R22" t="s">
        <v>1397</v>
      </c>
      <c r="AE22" s="22" t="s">
        <v>12</v>
      </c>
      <c r="AF22" s="23">
        <v>23</v>
      </c>
      <c r="AG22" s="23">
        <v>42</v>
      </c>
      <c r="AH22" s="23">
        <v>77</v>
      </c>
      <c r="AI22" s="23">
        <v>86</v>
      </c>
      <c r="AJ22" s="23">
        <v>74</v>
      </c>
      <c r="AK22" s="23">
        <v>36</v>
      </c>
    </row>
    <row r="23" spans="2:37">
      <c r="Q23" t="s">
        <v>1167</v>
      </c>
      <c r="R23" t="s">
        <v>5</v>
      </c>
      <c r="S23" t="s">
        <v>13</v>
      </c>
      <c r="T23" t="s">
        <v>14</v>
      </c>
      <c r="AE23" s="2" t="s">
        <v>13</v>
      </c>
      <c r="AF23" s="21">
        <v>426</v>
      </c>
      <c r="AG23" s="21">
        <v>594</v>
      </c>
      <c r="AH23" s="21">
        <v>720</v>
      </c>
      <c r="AI23" s="21">
        <v>842</v>
      </c>
      <c r="AJ23" s="21">
        <v>886</v>
      </c>
      <c r="AK23" s="21">
        <v>622</v>
      </c>
    </row>
    <row r="24" spans="2:37">
      <c r="Q24" s="2" t="s">
        <v>6</v>
      </c>
      <c r="R24" s="21">
        <v>284</v>
      </c>
      <c r="S24" s="21">
        <v>609</v>
      </c>
      <c r="T24" s="21">
        <v>299</v>
      </c>
      <c r="AE24" s="22" t="s">
        <v>6</v>
      </c>
      <c r="AF24" s="23">
        <v>50</v>
      </c>
      <c r="AG24" s="23">
        <v>79</v>
      </c>
      <c r="AH24" s="23">
        <v>80</v>
      </c>
      <c r="AI24" s="23">
        <v>120</v>
      </c>
      <c r="AJ24" s="23">
        <v>150</v>
      </c>
      <c r="AK24" s="23">
        <v>130</v>
      </c>
    </row>
    <row r="25" spans="2:37">
      <c r="P25" s="21"/>
      <c r="Q25" s="2" t="s">
        <v>7</v>
      </c>
      <c r="R25" s="21">
        <v>668</v>
      </c>
      <c r="S25" s="21">
        <v>931</v>
      </c>
      <c r="T25" s="21">
        <v>620</v>
      </c>
      <c r="AE25" s="22" t="s">
        <v>7</v>
      </c>
      <c r="AF25" s="23">
        <v>126</v>
      </c>
      <c r="AG25" s="23">
        <v>140</v>
      </c>
      <c r="AH25" s="23">
        <v>158</v>
      </c>
      <c r="AI25" s="23">
        <v>177</v>
      </c>
      <c r="AJ25" s="23">
        <v>200</v>
      </c>
      <c r="AK25" s="23">
        <v>130</v>
      </c>
    </row>
    <row r="26" spans="2:37">
      <c r="P26" s="21"/>
      <c r="Q26" s="2" t="s">
        <v>8</v>
      </c>
      <c r="R26" s="21">
        <v>206</v>
      </c>
      <c r="S26" s="21">
        <v>419</v>
      </c>
      <c r="T26" s="21">
        <v>207</v>
      </c>
      <c r="AE26" s="22" t="s">
        <v>8</v>
      </c>
      <c r="AF26" s="23">
        <v>44</v>
      </c>
      <c r="AG26" s="23">
        <v>62</v>
      </c>
      <c r="AH26" s="23">
        <v>99</v>
      </c>
      <c r="AI26" s="23">
        <v>82</v>
      </c>
      <c r="AJ26" s="23">
        <v>76</v>
      </c>
      <c r="AK26" s="23">
        <v>56</v>
      </c>
    </row>
    <row r="27" spans="2:37">
      <c r="Q27" s="2" t="s">
        <v>9</v>
      </c>
      <c r="R27" s="21">
        <v>564</v>
      </c>
      <c r="S27" s="21">
        <v>883</v>
      </c>
      <c r="T27" s="21">
        <v>567</v>
      </c>
      <c r="AE27" s="22" t="s">
        <v>9</v>
      </c>
      <c r="AF27" s="23">
        <v>88</v>
      </c>
      <c r="AG27" s="23">
        <v>144</v>
      </c>
      <c r="AH27" s="23">
        <v>180</v>
      </c>
      <c r="AI27" s="23">
        <v>196</v>
      </c>
      <c r="AJ27" s="23">
        <v>163</v>
      </c>
      <c r="AK27" s="23">
        <v>112</v>
      </c>
    </row>
    <row r="28" spans="2:37">
      <c r="Q28" s="2" t="s">
        <v>10</v>
      </c>
      <c r="R28" s="21">
        <v>160</v>
      </c>
      <c r="S28" s="21">
        <v>470</v>
      </c>
      <c r="T28" s="21">
        <v>238</v>
      </c>
      <c r="AE28" s="22" t="s">
        <v>10</v>
      </c>
      <c r="AF28" s="23">
        <v>48</v>
      </c>
      <c r="AG28" s="23">
        <v>64</v>
      </c>
      <c r="AH28" s="23">
        <v>72</v>
      </c>
      <c r="AI28" s="23">
        <v>94</v>
      </c>
      <c r="AJ28" s="23">
        <v>106</v>
      </c>
      <c r="AK28" s="23">
        <v>86</v>
      </c>
    </row>
    <row r="29" spans="2:37">
      <c r="Q29" s="2" t="s">
        <v>11</v>
      </c>
      <c r="R29" s="21">
        <v>58</v>
      </c>
      <c r="S29" s="21">
        <v>156</v>
      </c>
      <c r="T29" s="21">
        <v>80</v>
      </c>
      <c r="AE29" s="22" t="s">
        <v>11</v>
      </c>
      <c r="AF29" s="23">
        <v>16</v>
      </c>
      <c r="AG29" s="23">
        <v>17</v>
      </c>
      <c r="AH29" s="23">
        <v>19</v>
      </c>
      <c r="AI29" s="23">
        <v>29</v>
      </c>
      <c r="AJ29" s="23">
        <v>31</v>
      </c>
      <c r="AK29" s="23">
        <v>44</v>
      </c>
    </row>
    <row r="30" spans="2:37">
      <c r="Q30" s="2" t="s">
        <v>12</v>
      </c>
      <c r="R30" s="21">
        <v>338</v>
      </c>
      <c r="S30" s="21">
        <v>622</v>
      </c>
      <c r="T30" s="21">
        <v>384</v>
      </c>
      <c r="AE30" s="22" t="s">
        <v>12</v>
      </c>
      <c r="AF30" s="23">
        <v>54</v>
      </c>
      <c r="AG30" s="23">
        <v>88</v>
      </c>
      <c r="AH30" s="23">
        <v>112</v>
      </c>
      <c r="AI30" s="23">
        <v>144</v>
      </c>
      <c r="AJ30" s="23">
        <v>160</v>
      </c>
      <c r="AK30" s="23">
        <v>64</v>
      </c>
    </row>
    <row r="31" spans="2:37">
      <c r="AE31" s="2" t="s">
        <v>14</v>
      </c>
      <c r="AF31" s="21">
        <v>205</v>
      </c>
      <c r="AG31" s="21">
        <v>323</v>
      </c>
      <c r="AH31" s="21">
        <v>478</v>
      </c>
      <c r="AI31" s="21">
        <v>550</v>
      </c>
      <c r="AJ31" s="21">
        <v>503</v>
      </c>
      <c r="AK31" s="21">
        <v>336</v>
      </c>
    </row>
    <row r="32" spans="2:37">
      <c r="AE32" s="22" t="s">
        <v>6</v>
      </c>
      <c r="AF32" s="23">
        <v>20</v>
      </c>
      <c r="AG32" s="23">
        <v>43</v>
      </c>
      <c r="AH32" s="23">
        <v>45</v>
      </c>
      <c r="AI32" s="23">
        <v>50</v>
      </c>
      <c r="AJ32" s="23">
        <v>61</v>
      </c>
      <c r="AK32" s="23">
        <v>80</v>
      </c>
    </row>
    <row r="33" spans="31:37">
      <c r="AE33" s="22" t="s">
        <v>7</v>
      </c>
      <c r="AF33" s="23">
        <v>75</v>
      </c>
      <c r="AG33" s="23">
        <v>80</v>
      </c>
      <c r="AH33" s="23">
        <v>122</v>
      </c>
      <c r="AI33" s="23">
        <v>135</v>
      </c>
      <c r="AJ33" s="23">
        <v>144</v>
      </c>
      <c r="AK33" s="23">
        <v>64</v>
      </c>
    </row>
    <row r="34" spans="31:37">
      <c r="AE34" s="22" t="s">
        <v>8</v>
      </c>
      <c r="AF34" s="23">
        <v>22</v>
      </c>
      <c r="AG34" s="23">
        <v>30</v>
      </c>
      <c r="AH34" s="23">
        <v>65</v>
      </c>
      <c r="AI34" s="23">
        <v>40</v>
      </c>
      <c r="AJ34" s="23">
        <v>30</v>
      </c>
      <c r="AK34" s="23">
        <v>20</v>
      </c>
    </row>
    <row r="35" spans="31:37">
      <c r="AE35" s="22" t="s">
        <v>9</v>
      </c>
      <c r="AF35" s="23">
        <v>30</v>
      </c>
      <c r="AG35" s="23">
        <v>90</v>
      </c>
      <c r="AH35" s="23">
        <v>120</v>
      </c>
      <c r="AI35" s="23">
        <v>154</v>
      </c>
      <c r="AJ35" s="23">
        <v>96</v>
      </c>
      <c r="AK35" s="23">
        <v>77</v>
      </c>
    </row>
    <row r="36" spans="31:37">
      <c r="AE36" s="22" t="s">
        <v>10</v>
      </c>
      <c r="AF36" s="23">
        <v>26</v>
      </c>
      <c r="AG36" s="23">
        <v>26</v>
      </c>
      <c r="AH36" s="23">
        <v>30</v>
      </c>
      <c r="AI36" s="23">
        <v>62</v>
      </c>
      <c r="AJ36" s="23">
        <v>54</v>
      </c>
      <c r="AK36" s="23">
        <v>40</v>
      </c>
    </row>
    <row r="37" spans="31:37">
      <c r="AE37" s="22" t="s">
        <v>11</v>
      </c>
      <c r="AF37" s="23">
        <v>6</v>
      </c>
      <c r="AG37" s="23">
        <v>10</v>
      </c>
      <c r="AH37" s="23">
        <v>11</v>
      </c>
      <c r="AI37" s="23">
        <v>13</v>
      </c>
      <c r="AJ37" s="23">
        <v>18</v>
      </c>
      <c r="AK37" s="23">
        <v>22</v>
      </c>
    </row>
    <row r="38" spans="31:37">
      <c r="AE38" s="22" t="s">
        <v>12</v>
      </c>
      <c r="AF38" s="23">
        <v>26</v>
      </c>
      <c r="AG38" s="23">
        <v>44</v>
      </c>
      <c r="AH38" s="23">
        <v>85</v>
      </c>
      <c r="AI38" s="23">
        <v>96</v>
      </c>
      <c r="AJ38" s="23">
        <v>100</v>
      </c>
      <c r="AK38" s="23">
        <v>33</v>
      </c>
    </row>
  </sheetData>
  <conditionalFormatting pivot="1" sqref="E16:E22 G16:G22 I16:I22">
    <cfRule type="dataBar" priority="4">
      <dataBar showValue="0">
        <cfvo type="min"/>
        <cfvo type="max"/>
        <color rgb="FF638EC6"/>
      </dataBar>
      <extLst>
        <ext xmlns:x14="http://schemas.microsoft.com/office/spreadsheetml/2009/9/main" uri="{B025F937-C7B1-47D3-B67F-A62EFF666E3E}">
          <x14:id>{C27A0E7C-89D9-48E5-9C79-A388071170F8}</x14:id>
        </ext>
      </extLst>
    </cfRule>
  </conditionalFormatting>
  <conditionalFormatting pivot="1" sqref="AF16:AK22 AF24:AK30 AF32:AK38">
    <cfRule type="colorScale" priority="3">
      <colorScale>
        <cfvo type="min"/>
        <cfvo type="max"/>
        <color theme="2"/>
        <color rgb="FF92D050"/>
      </colorScale>
    </cfRule>
  </conditionalFormatting>
  <pageMargins left="0.7" right="0.7" top="0.75" bottom="0.75" header="0.3" footer="0.3"/>
  <pageSetup orientation="portrait" r:id="rId4"/>
  <drawing r:id="rId5"/>
  <extLst>
    <ext xmlns:x14="http://schemas.microsoft.com/office/spreadsheetml/2009/9/main" uri="{78C0D931-6437-407d-A8EE-F0AAD7539E65}">
      <x14:conditionalFormattings>
        <x14:conditionalFormatting xmlns:xm="http://schemas.microsoft.com/office/excel/2006/main" pivot="1">
          <x14:cfRule type="dataBar" id="{C27A0E7C-89D9-48E5-9C79-A388071170F8}">
            <x14:dataBar minLength="0" maxLength="100" gradient="0">
              <x14:cfvo type="autoMin"/>
              <x14:cfvo type="autoMax"/>
              <x14:negativeFillColor rgb="FFFF0000"/>
              <x14:axisColor rgb="FF000000"/>
            </x14:dataBar>
          </x14:cfRule>
          <xm:sqref>E16:E22 G16:G22 I16:I22</xm:sqref>
        </x14:conditionalFormatting>
        <x14:conditionalFormatting xmlns:xm="http://schemas.microsoft.com/office/excel/2006/main" pivot="1">
          <x14:cfRule type="iconSet" priority="1" id="{C5056402-064B-48F4-81E9-B28ACC1C8F6B}">
            <x14:iconSet custom="1">
              <x14:cfvo type="percent">
                <xm:f>0</xm:f>
              </x14:cfvo>
              <x14:cfvo type="num">
                <xm:f>$S$17</xm:f>
              </x14:cfvo>
              <x14:cfvo type="num">
                <xm:f>$S$18</xm:f>
              </x14:cfvo>
              <x14:cfIcon iconSet="3TrafficLights1" iconId="0"/>
              <x14:cfIcon iconSet="3TrafficLights1" iconId="1"/>
              <x14:cfIcon iconSet="NoIcons" iconId="0"/>
            </x14:iconSet>
          </x14:cfRule>
          <xm:sqref>R24:T30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D5CFF-8CAC-4A10-BDB0-5795530B7E1C}">
  <sheetPr codeName="Sheet19">
    <tabColor theme="6"/>
  </sheetPr>
  <dimension ref="A1:H26"/>
  <sheetViews>
    <sheetView zoomScale="115" zoomScaleNormal="115" zoomScalePageLayoutView="200" workbookViewId="0">
      <selection activeCell="B29" sqref="B29"/>
    </sheetView>
  </sheetViews>
  <sheetFormatPr defaultColWidth="8.86328125" defaultRowHeight="12.75"/>
  <cols>
    <col min="1" max="1" width="15.265625" bestFit="1" customWidth="1"/>
    <col min="2" max="2" width="19.3984375" bestFit="1" customWidth="1"/>
    <col min="3" max="3" width="22.06640625" bestFit="1" customWidth="1"/>
    <col min="4" max="4" width="20.265625" bestFit="1" customWidth="1"/>
    <col min="5" max="5" width="17.46484375" bestFit="1" customWidth="1"/>
    <col min="6" max="6" width="19.73046875" bestFit="1" customWidth="1"/>
    <col min="7" max="7" width="19.53125" bestFit="1" customWidth="1"/>
    <col min="8" max="8" width="11.1328125" bestFit="1" customWidth="1"/>
    <col min="9" max="13" width="17.46484375" customWidth="1"/>
    <col min="14" max="14" width="11.1328125" bestFit="1" customWidth="1"/>
    <col min="15" max="40" width="16.3984375" bestFit="1" customWidth="1"/>
    <col min="41" max="41" width="20.73046875" bestFit="1" customWidth="1"/>
    <col min="42" max="42" width="21.59765625" bestFit="1" customWidth="1"/>
    <col min="43" max="43" width="17.3984375" bestFit="1" customWidth="1"/>
  </cols>
  <sheetData>
    <row r="1" spans="1:4">
      <c r="D1" s="18"/>
    </row>
    <row r="2" spans="1:4">
      <c r="C2" t="s">
        <v>1384</v>
      </c>
      <c r="D2" s="18"/>
    </row>
    <row r="3" spans="1:4">
      <c r="C3" t="s">
        <v>1385</v>
      </c>
      <c r="D3" s="18"/>
    </row>
    <row r="4" spans="1:4">
      <c r="C4" t="s">
        <v>1386</v>
      </c>
      <c r="D4" s="18"/>
    </row>
    <row r="5" spans="1:4">
      <c r="C5" t="s">
        <v>1387</v>
      </c>
    </row>
    <row r="6" spans="1:4">
      <c r="C6" t="s">
        <v>1392</v>
      </c>
    </row>
    <row r="7" spans="1:4">
      <c r="C7" t="s">
        <v>1393</v>
      </c>
      <c r="D7" t="s">
        <v>1394</v>
      </c>
    </row>
    <row r="8" spans="1:4" ht="15.4">
      <c r="A8" s="20"/>
      <c r="C8" t="s">
        <v>1396</v>
      </c>
    </row>
    <row r="9" spans="1:4" ht="15.4">
      <c r="A9" s="20"/>
      <c r="C9" t="s">
        <v>1395</v>
      </c>
    </row>
    <row r="10" spans="1:4" ht="15.4">
      <c r="A10" s="20"/>
    </row>
    <row r="11" spans="1:4" ht="15.4">
      <c r="A11" s="20"/>
    </row>
    <row r="17" spans="1:8">
      <c r="A17" s="1" t="s">
        <v>1391</v>
      </c>
      <c r="B17" s="1" t="s">
        <v>1166</v>
      </c>
    </row>
    <row r="18" spans="1:8">
      <c r="A18" s="1" t="s">
        <v>1167</v>
      </c>
      <c r="B18" s="19">
        <v>39938</v>
      </c>
      <c r="C18" s="19">
        <v>39939</v>
      </c>
      <c r="D18" s="19">
        <v>39940</v>
      </c>
      <c r="E18" s="19">
        <v>39941</v>
      </c>
      <c r="F18" s="19">
        <v>39942</v>
      </c>
      <c r="G18" s="19">
        <v>39943</v>
      </c>
      <c r="H18" s="19" t="s">
        <v>1168</v>
      </c>
    </row>
    <row r="19" spans="1:8">
      <c r="A19" s="2" t="s">
        <v>6</v>
      </c>
      <c r="B19">
        <v>1140</v>
      </c>
      <c r="C19">
        <v>1812</v>
      </c>
      <c r="D19">
        <v>1980</v>
      </c>
      <c r="E19">
        <v>2700</v>
      </c>
      <c r="F19">
        <v>3372</v>
      </c>
      <c r="G19">
        <v>3300</v>
      </c>
      <c r="H19">
        <v>14304</v>
      </c>
    </row>
    <row r="20" spans="1:8">
      <c r="A20" s="2" t="s">
        <v>7</v>
      </c>
      <c r="B20">
        <v>433.5</v>
      </c>
      <c r="C20">
        <v>471</v>
      </c>
      <c r="D20">
        <v>573</v>
      </c>
      <c r="E20">
        <v>690</v>
      </c>
      <c r="F20">
        <v>756</v>
      </c>
      <c r="G20">
        <v>405</v>
      </c>
      <c r="H20">
        <v>3328.5</v>
      </c>
    </row>
    <row r="21" spans="1:8">
      <c r="A21" s="2" t="s">
        <v>8</v>
      </c>
      <c r="B21">
        <v>124.25</v>
      </c>
      <c r="C21">
        <v>176.75</v>
      </c>
      <c r="D21">
        <v>308</v>
      </c>
      <c r="E21">
        <v>297.5</v>
      </c>
      <c r="F21">
        <v>290.5</v>
      </c>
      <c r="G21">
        <v>259</v>
      </c>
      <c r="H21">
        <v>1456</v>
      </c>
    </row>
    <row r="22" spans="1:8">
      <c r="A22" s="2" t="s">
        <v>9</v>
      </c>
      <c r="B22">
        <v>510</v>
      </c>
      <c r="C22">
        <v>933</v>
      </c>
      <c r="D22">
        <v>1206</v>
      </c>
      <c r="E22">
        <v>1488</v>
      </c>
      <c r="F22">
        <v>1143</v>
      </c>
      <c r="G22">
        <v>762</v>
      </c>
      <c r="H22">
        <v>6042</v>
      </c>
    </row>
    <row r="23" spans="1:8">
      <c r="A23" s="2" t="s">
        <v>10</v>
      </c>
      <c r="B23">
        <v>178.5</v>
      </c>
      <c r="C23">
        <v>190.75</v>
      </c>
      <c r="D23">
        <v>218.75</v>
      </c>
      <c r="E23">
        <v>311.5</v>
      </c>
      <c r="F23">
        <v>336</v>
      </c>
      <c r="G23">
        <v>283.5</v>
      </c>
      <c r="H23">
        <v>1519</v>
      </c>
    </row>
    <row r="24" spans="1:8">
      <c r="A24" s="2" t="s">
        <v>11</v>
      </c>
      <c r="B24">
        <v>270</v>
      </c>
      <c r="C24">
        <v>340</v>
      </c>
      <c r="D24">
        <v>370</v>
      </c>
      <c r="E24">
        <v>530</v>
      </c>
      <c r="F24">
        <v>620</v>
      </c>
      <c r="G24">
        <v>810</v>
      </c>
      <c r="H24">
        <v>2940</v>
      </c>
    </row>
    <row r="25" spans="1:8">
      <c r="A25" s="2" t="s">
        <v>12</v>
      </c>
      <c r="B25">
        <v>257.5</v>
      </c>
      <c r="C25">
        <v>435</v>
      </c>
      <c r="D25">
        <v>685</v>
      </c>
      <c r="E25">
        <v>815</v>
      </c>
      <c r="F25">
        <v>835</v>
      </c>
      <c r="G25">
        <v>332.5</v>
      </c>
      <c r="H25">
        <v>3360</v>
      </c>
    </row>
    <row r="26" spans="1:8">
      <c r="A26" s="2" t="s">
        <v>1168</v>
      </c>
      <c r="B26">
        <v>2913.75</v>
      </c>
      <c r="C26">
        <v>4358.5</v>
      </c>
      <c r="D26">
        <v>5340.75</v>
      </c>
      <c r="E26">
        <v>6832</v>
      </c>
      <c r="F26">
        <v>7352.5</v>
      </c>
      <c r="G26">
        <v>6152</v>
      </c>
      <c r="H26">
        <v>32949.5</v>
      </c>
    </row>
  </sheetData>
  <pageMargins left="0.7" right="0.7" top="0.75" bottom="0.75" header="0.3" footer="0.3"/>
  <pageSetup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A2:I61"/>
  <sheetViews>
    <sheetView topLeftCell="A45" zoomScale="145" zoomScaleNormal="145" zoomScalePageLayoutView="200" workbookViewId="0">
      <selection activeCell="D8" sqref="D8"/>
    </sheetView>
  </sheetViews>
  <sheetFormatPr defaultColWidth="8.86328125" defaultRowHeight="12.75"/>
  <cols>
    <col min="1" max="1" width="11" customWidth="1"/>
    <col min="2" max="2" width="16.59765625" bestFit="1" customWidth="1"/>
    <col min="3" max="4" width="30.265625" customWidth="1"/>
    <col min="5" max="5" width="20.1328125" bestFit="1" customWidth="1"/>
    <col min="6" max="6" width="15" bestFit="1" customWidth="1"/>
    <col min="7" max="7" width="9.265625" bestFit="1" customWidth="1"/>
    <col min="8" max="8" width="7" bestFit="1" customWidth="1"/>
    <col min="9" max="9" width="10.265625" bestFit="1" customWidth="1"/>
    <col min="10" max="10" width="12.265625" customWidth="1"/>
    <col min="11" max="11" width="11.73046875" customWidth="1"/>
    <col min="12" max="12" width="11.73046875" bestFit="1" customWidth="1"/>
  </cols>
  <sheetData>
    <row r="2" spans="1:4">
      <c r="A2" t="s">
        <v>1298</v>
      </c>
      <c r="B2" t="s">
        <v>1251</v>
      </c>
    </row>
    <row r="3" spans="1:4">
      <c r="A3" t="s">
        <v>1299</v>
      </c>
      <c r="B3" t="s">
        <v>1275</v>
      </c>
      <c r="C3" t="s">
        <v>1285</v>
      </c>
      <c r="D3" t="s">
        <v>1300</v>
      </c>
    </row>
    <row r="4" spans="1:4">
      <c r="D4" t="s">
        <v>1301</v>
      </c>
    </row>
    <row r="5" spans="1:4">
      <c r="D5" t="s">
        <v>1302</v>
      </c>
    </row>
    <row r="6" spans="1:4">
      <c r="D6" t="s">
        <v>1303</v>
      </c>
    </row>
    <row r="8" spans="1:4">
      <c r="D8" s="18"/>
    </row>
    <row r="20" spans="2:9">
      <c r="E20" s="1" t="s">
        <v>4</v>
      </c>
      <c r="F20" t="s">
        <v>1165</v>
      </c>
    </row>
    <row r="22" spans="2:9">
      <c r="E22" s="1" t="s">
        <v>1169</v>
      </c>
      <c r="F22" s="1" t="s">
        <v>1166</v>
      </c>
    </row>
    <row r="23" spans="2:9">
      <c r="E23" s="1" t="s">
        <v>1167</v>
      </c>
      <c r="F23" t="s">
        <v>5</v>
      </c>
      <c r="G23" t="s">
        <v>13</v>
      </c>
      <c r="H23" t="s">
        <v>14</v>
      </c>
      <c r="I23" t="s">
        <v>1168</v>
      </c>
    </row>
    <row r="24" spans="2:9">
      <c r="E24" s="2" t="s">
        <v>6</v>
      </c>
      <c r="F24">
        <v>284</v>
      </c>
      <c r="G24">
        <v>609</v>
      </c>
      <c r="H24">
        <v>299</v>
      </c>
      <c r="I24">
        <v>1192</v>
      </c>
    </row>
    <row r="25" spans="2:9">
      <c r="E25" s="2" t="s">
        <v>7</v>
      </c>
      <c r="F25">
        <v>668</v>
      </c>
      <c r="G25">
        <v>931</v>
      </c>
      <c r="H25">
        <v>620</v>
      </c>
      <c r="I25">
        <v>2219</v>
      </c>
    </row>
    <row r="26" spans="2:9">
      <c r="E26" s="2" t="s">
        <v>8</v>
      </c>
      <c r="F26">
        <v>206</v>
      </c>
      <c r="G26">
        <v>419</v>
      </c>
      <c r="H26">
        <v>207</v>
      </c>
      <c r="I26">
        <v>832</v>
      </c>
    </row>
    <row r="27" spans="2:9">
      <c r="E27" s="2" t="s">
        <v>9</v>
      </c>
      <c r="F27">
        <v>564</v>
      </c>
      <c r="G27">
        <v>883</v>
      </c>
      <c r="H27">
        <v>567</v>
      </c>
      <c r="I27">
        <v>2014</v>
      </c>
    </row>
    <row r="28" spans="2:9">
      <c r="E28" s="2" t="s">
        <v>10</v>
      </c>
      <c r="F28">
        <v>160</v>
      </c>
      <c r="G28">
        <v>470</v>
      </c>
      <c r="H28">
        <v>238</v>
      </c>
      <c r="I28">
        <v>868</v>
      </c>
    </row>
    <row r="29" spans="2:9">
      <c r="E29" s="2" t="s">
        <v>11</v>
      </c>
      <c r="F29">
        <v>58</v>
      </c>
      <c r="G29">
        <v>156</v>
      </c>
      <c r="H29">
        <v>80</v>
      </c>
      <c r="I29">
        <v>294</v>
      </c>
    </row>
    <row r="30" spans="2:9">
      <c r="E30" s="2" t="s">
        <v>12</v>
      </c>
      <c r="F30">
        <v>338</v>
      </c>
      <c r="G30">
        <v>622</v>
      </c>
      <c r="H30">
        <v>384</v>
      </c>
      <c r="I30">
        <v>1344</v>
      </c>
    </row>
    <row r="31" spans="2:9">
      <c r="E31" s="2" t="s">
        <v>1168</v>
      </c>
      <c r="F31">
        <v>2278</v>
      </c>
      <c r="G31">
        <v>4090</v>
      </c>
      <c r="H31">
        <v>2395</v>
      </c>
      <c r="I31">
        <v>8763</v>
      </c>
    </row>
    <row r="32" spans="2:9">
      <c r="B32" t="s">
        <v>1281</v>
      </c>
      <c r="C32" t="s">
        <v>1286</v>
      </c>
    </row>
    <row r="33" spans="2:3">
      <c r="B33" t="s">
        <v>1281</v>
      </c>
      <c r="C33" t="s">
        <v>1256</v>
      </c>
    </row>
    <row r="34" spans="2:3">
      <c r="B34" t="s">
        <v>1281</v>
      </c>
      <c r="C34" t="s">
        <v>1283</v>
      </c>
    </row>
    <row r="35" spans="2:3">
      <c r="B35" t="s">
        <v>1281</v>
      </c>
      <c r="C35" t="s">
        <v>1257</v>
      </c>
    </row>
    <row r="36" spans="2:3">
      <c r="B36" t="s">
        <v>1281</v>
      </c>
      <c r="C36" t="s">
        <v>1259</v>
      </c>
    </row>
    <row r="37" spans="2:3">
      <c r="B37" t="s">
        <v>1281</v>
      </c>
      <c r="C37" t="s">
        <v>1277</v>
      </c>
    </row>
    <row r="39" spans="2:3">
      <c r="B39" t="s">
        <v>1281</v>
      </c>
      <c r="C39" t="s">
        <v>1287</v>
      </c>
    </row>
    <row r="40" spans="2:3">
      <c r="B40" t="s">
        <v>1281</v>
      </c>
      <c r="C40" t="s">
        <v>1288</v>
      </c>
    </row>
    <row r="43" spans="2:3">
      <c r="B43" t="s">
        <v>1281</v>
      </c>
      <c r="C43" t="s">
        <v>1260</v>
      </c>
    </row>
    <row r="44" spans="2:3">
      <c r="B44" t="s">
        <v>1281</v>
      </c>
      <c r="C44" t="s">
        <v>1261</v>
      </c>
    </row>
    <row r="45" spans="2:3">
      <c r="B45" t="s">
        <v>1281</v>
      </c>
      <c r="C45" t="s">
        <v>1268</v>
      </c>
    </row>
    <row r="46" spans="2:3">
      <c r="B46" t="s">
        <v>1281</v>
      </c>
      <c r="C46" t="s">
        <v>1269</v>
      </c>
    </row>
    <row r="47" spans="2:3">
      <c r="B47" t="s">
        <v>1281</v>
      </c>
      <c r="C47" t="s">
        <v>1270</v>
      </c>
    </row>
    <row r="48" spans="2:3">
      <c r="B48" t="s">
        <v>1281</v>
      </c>
      <c r="C48" t="s">
        <v>1271</v>
      </c>
    </row>
    <row r="50" spans="2:3">
      <c r="B50" t="s">
        <v>1281</v>
      </c>
      <c r="C50" t="s">
        <v>1262</v>
      </c>
    </row>
    <row r="51" spans="2:3">
      <c r="B51" t="s">
        <v>1281</v>
      </c>
      <c r="C51" t="s">
        <v>1263</v>
      </c>
    </row>
    <row r="52" spans="2:3">
      <c r="B52" t="s">
        <v>1281</v>
      </c>
      <c r="C52" t="s">
        <v>1258</v>
      </c>
    </row>
    <row r="54" spans="2:3">
      <c r="B54" t="s">
        <v>1291</v>
      </c>
      <c r="C54" t="s">
        <v>1292</v>
      </c>
    </row>
    <row r="56" spans="2:3">
      <c r="B56" t="s">
        <v>1290</v>
      </c>
      <c r="C56" t="s">
        <v>1289</v>
      </c>
    </row>
    <row r="57" spans="2:3">
      <c r="C57" t="s">
        <v>1293</v>
      </c>
    </row>
    <row r="58" spans="2:3">
      <c r="C58" t="s">
        <v>1294</v>
      </c>
    </row>
    <row r="59" spans="2:3">
      <c r="C59" t="s">
        <v>1295</v>
      </c>
    </row>
    <row r="60" spans="2:3">
      <c r="C60" t="s">
        <v>1296</v>
      </c>
    </row>
    <row r="61" spans="2:3">
      <c r="C61" t="s">
        <v>1297</v>
      </c>
    </row>
  </sheetData>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6D0AE-A3D6-41EC-847D-4761752753CD}">
  <sheetPr codeName="Sheet14">
    <tabColor theme="3"/>
  </sheetPr>
  <dimension ref="A1:Q50"/>
  <sheetViews>
    <sheetView topLeftCell="A2" workbookViewId="0">
      <selection activeCell="F17" sqref="F17"/>
    </sheetView>
  </sheetViews>
  <sheetFormatPr defaultRowHeight="12.75"/>
  <cols>
    <col min="1" max="1" width="9.19921875" customWidth="1"/>
    <col min="2" max="2" width="16.3984375" customWidth="1"/>
    <col min="3" max="3" width="17.59765625" customWidth="1"/>
    <col min="4" max="4" width="16" customWidth="1"/>
    <col min="5" max="5" width="32.73046875" customWidth="1"/>
    <col min="6" max="7" width="16.9296875" customWidth="1"/>
    <col min="8" max="8" width="13.19921875" customWidth="1"/>
    <col min="9" max="9" width="10.9296875" customWidth="1"/>
    <col min="10" max="10" width="12.3984375" customWidth="1"/>
    <col min="11" max="11" width="22" customWidth="1"/>
    <col min="12" max="13" width="14" customWidth="1"/>
    <col min="14" max="14" width="14.6640625" customWidth="1"/>
    <col min="16" max="16" width="15.265625" customWidth="1"/>
    <col min="17" max="17" width="25.86328125" customWidth="1"/>
  </cols>
  <sheetData>
    <row r="1" spans="1:17" ht="14.25">
      <c r="A1" t="s">
        <v>1171</v>
      </c>
      <c r="B1" t="s">
        <v>1172</v>
      </c>
      <c r="C1" t="s">
        <v>1173</v>
      </c>
      <c r="D1" t="s">
        <v>1174</v>
      </c>
      <c r="E1" t="s">
        <v>1175</v>
      </c>
      <c r="F1" t="s">
        <v>1176</v>
      </c>
      <c r="G1" t="s">
        <v>1388</v>
      </c>
      <c r="H1" t="s">
        <v>1177</v>
      </c>
      <c r="I1" t="s">
        <v>1178</v>
      </c>
      <c r="J1" t="s">
        <v>1179</v>
      </c>
      <c r="K1" t="s">
        <v>1180</v>
      </c>
      <c r="L1" t="s">
        <v>1181</v>
      </c>
      <c r="M1" t="s">
        <v>1182</v>
      </c>
      <c r="N1" t="s">
        <v>1183</v>
      </c>
      <c r="Q1" s="10" t="s">
        <v>1388</v>
      </c>
    </row>
    <row r="2" spans="1:17" ht="14.25">
      <c r="A2">
        <v>30</v>
      </c>
      <c r="B2">
        <v>43845</v>
      </c>
      <c r="C2" t="s">
        <v>1190</v>
      </c>
      <c r="D2" t="s">
        <v>1330</v>
      </c>
      <c r="E2" t="s">
        <v>1236</v>
      </c>
      <c r="F2">
        <v>1400</v>
      </c>
      <c r="G2">
        <v>2</v>
      </c>
      <c r="H2">
        <v>9</v>
      </c>
      <c r="I2">
        <v>34</v>
      </c>
      <c r="J2">
        <v>27</v>
      </c>
      <c r="K2" t="s">
        <v>1192</v>
      </c>
      <c r="L2" t="s">
        <v>1330</v>
      </c>
      <c r="M2" t="s">
        <v>1199</v>
      </c>
      <c r="N2" t="s">
        <v>1188</v>
      </c>
      <c r="Q2" s="11">
        <v>2</v>
      </c>
    </row>
    <row r="3" spans="1:17" ht="14.25">
      <c r="A3">
        <v>30</v>
      </c>
      <c r="B3">
        <v>43845</v>
      </c>
      <c r="C3" t="s">
        <v>1190</v>
      </c>
      <c r="D3" t="s">
        <v>1330</v>
      </c>
      <c r="E3" t="s">
        <v>1239</v>
      </c>
      <c r="F3">
        <v>105</v>
      </c>
      <c r="G3">
        <v>2</v>
      </c>
      <c r="H3">
        <v>9</v>
      </c>
      <c r="I3">
        <v>80</v>
      </c>
      <c r="J3">
        <v>27</v>
      </c>
      <c r="K3" t="s">
        <v>1189</v>
      </c>
      <c r="L3" t="s">
        <v>1330</v>
      </c>
      <c r="M3" t="s">
        <v>1199</v>
      </c>
      <c r="N3" t="s">
        <v>1188</v>
      </c>
      <c r="Q3" s="11">
        <v>2</v>
      </c>
    </row>
    <row r="4" spans="1:17" ht="14.25">
      <c r="A4">
        <v>31</v>
      </c>
      <c r="B4">
        <v>43850</v>
      </c>
      <c r="C4" t="s">
        <v>1205</v>
      </c>
      <c r="D4" t="s">
        <v>1332</v>
      </c>
      <c r="E4" t="s">
        <v>1230</v>
      </c>
      <c r="F4">
        <v>530</v>
      </c>
      <c r="G4">
        <v>1</v>
      </c>
      <c r="H4">
        <v>3</v>
      </c>
      <c r="I4">
        <v>51</v>
      </c>
      <c r="J4">
        <v>4</v>
      </c>
      <c r="K4" t="s">
        <v>1189</v>
      </c>
      <c r="L4" t="s">
        <v>1332</v>
      </c>
      <c r="M4" t="s">
        <v>1073</v>
      </c>
      <c r="N4" t="s">
        <v>1188</v>
      </c>
      <c r="Q4" s="11">
        <v>1</v>
      </c>
    </row>
    <row r="5" spans="1:17" ht="14.25">
      <c r="A5">
        <v>31</v>
      </c>
      <c r="B5">
        <v>43850</v>
      </c>
      <c r="C5" t="s">
        <v>1205</v>
      </c>
      <c r="D5" t="s">
        <v>1332</v>
      </c>
      <c r="E5" t="s">
        <v>1229</v>
      </c>
      <c r="F5">
        <v>300</v>
      </c>
      <c r="G5">
        <v>1</v>
      </c>
      <c r="H5">
        <v>3</v>
      </c>
      <c r="I5">
        <v>7</v>
      </c>
      <c r="J5">
        <v>4</v>
      </c>
      <c r="K5" t="s">
        <v>1189</v>
      </c>
      <c r="L5" t="s">
        <v>1332</v>
      </c>
      <c r="M5" t="s">
        <v>1073</v>
      </c>
      <c r="N5" t="s">
        <v>1188</v>
      </c>
      <c r="Q5" s="11">
        <v>1</v>
      </c>
    </row>
    <row r="6" spans="1:17" ht="14.25">
      <c r="A6">
        <v>31</v>
      </c>
      <c r="B6">
        <v>43850</v>
      </c>
      <c r="C6" t="s">
        <v>1205</v>
      </c>
      <c r="D6" t="s">
        <v>1332</v>
      </c>
      <c r="E6" t="s">
        <v>1239</v>
      </c>
      <c r="F6">
        <v>35</v>
      </c>
      <c r="G6">
        <v>4</v>
      </c>
      <c r="H6">
        <v>3</v>
      </c>
      <c r="I6">
        <v>80</v>
      </c>
      <c r="J6">
        <v>4</v>
      </c>
      <c r="K6" t="s">
        <v>1189</v>
      </c>
      <c r="L6" t="s">
        <v>1332</v>
      </c>
      <c r="M6" t="s">
        <v>1073</v>
      </c>
      <c r="N6" t="s">
        <v>1188</v>
      </c>
      <c r="Q6" s="11">
        <v>4</v>
      </c>
    </row>
    <row r="7" spans="1:17" ht="14.25">
      <c r="A7">
        <v>32</v>
      </c>
      <c r="B7">
        <v>43852</v>
      </c>
      <c r="C7" t="s">
        <v>1213</v>
      </c>
      <c r="D7" t="s">
        <v>1328</v>
      </c>
      <c r="E7" t="s">
        <v>1242</v>
      </c>
      <c r="F7">
        <v>270</v>
      </c>
      <c r="G7">
        <v>1</v>
      </c>
      <c r="H7">
        <v>4</v>
      </c>
      <c r="I7">
        <v>1</v>
      </c>
      <c r="J7">
        <v>12</v>
      </c>
      <c r="K7" t="s">
        <v>1192</v>
      </c>
      <c r="L7" t="s">
        <v>1328</v>
      </c>
      <c r="M7" t="s">
        <v>1199</v>
      </c>
      <c r="N7" t="s">
        <v>1188</v>
      </c>
      <c r="Q7" s="11">
        <v>1</v>
      </c>
    </row>
    <row r="8" spans="1:17" ht="14.25">
      <c r="A8">
        <v>32</v>
      </c>
      <c r="B8">
        <v>43852</v>
      </c>
      <c r="C8" t="s">
        <v>1213</v>
      </c>
      <c r="D8" t="s">
        <v>1328</v>
      </c>
      <c r="E8" t="s">
        <v>1231</v>
      </c>
      <c r="F8">
        <v>920</v>
      </c>
      <c r="G8">
        <v>1</v>
      </c>
      <c r="H8">
        <v>4</v>
      </c>
      <c r="I8">
        <v>43</v>
      </c>
      <c r="J8">
        <v>12</v>
      </c>
      <c r="K8" t="s">
        <v>1192</v>
      </c>
      <c r="L8" t="s">
        <v>1328</v>
      </c>
      <c r="M8" t="s">
        <v>1199</v>
      </c>
      <c r="N8" t="s">
        <v>1188</v>
      </c>
      <c r="Q8" s="11">
        <v>1</v>
      </c>
    </row>
    <row r="9" spans="1:17" ht="14.25">
      <c r="A9">
        <v>33</v>
      </c>
      <c r="B9">
        <v>43860</v>
      </c>
      <c r="C9" t="s">
        <v>1217</v>
      </c>
      <c r="D9" t="s">
        <v>1333</v>
      </c>
      <c r="E9" t="s">
        <v>1249</v>
      </c>
      <c r="F9">
        <v>276</v>
      </c>
      <c r="G9">
        <v>4</v>
      </c>
      <c r="H9">
        <v>6</v>
      </c>
      <c r="I9">
        <v>19</v>
      </c>
      <c r="J9">
        <v>8</v>
      </c>
      <c r="K9" t="s">
        <v>1203</v>
      </c>
      <c r="L9" t="s">
        <v>1333</v>
      </c>
      <c r="M9" t="s">
        <v>1209</v>
      </c>
      <c r="N9" t="s">
        <v>1188</v>
      </c>
      <c r="Q9" s="11">
        <v>4</v>
      </c>
    </row>
    <row r="10" spans="1:17" ht="14.25">
      <c r="A10">
        <v>34</v>
      </c>
      <c r="B10">
        <v>43867</v>
      </c>
      <c r="C10" t="s">
        <v>1190</v>
      </c>
      <c r="D10" t="s">
        <v>1332</v>
      </c>
      <c r="E10" t="s">
        <v>1249</v>
      </c>
      <c r="F10">
        <v>184</v>
      </c>
      <c r="G10">
        <v>1</v>
      </c>
      <c r="H10">
        <v>9</v>
      </c>
      <c r="I10">
        <v>19</v>
      </c>
      <c r="J10">
        <v>4</v>
      </c>
      <c r="K10" t="s">
        <v>1203</v>
      </c>
      <c r="L10" t="s">
        <v>1332</v>
      </c>
      <c r="M10" t="s">
        <v>1073</v>
      </c>
      <c r="N10" t="s">
        <v>1188</v>
      </c>
      <c r="Q10" s="11">
        <v>1</v>
      </c>
    </row>
    <row r="11" spans="1:17" ht="14.25">
      <c r="A11">
        <v>35</v>
      </c>
      <c r="B11">
        <v>43871</v>
      </c>
      <c r="C11" t="s">
        <v>1205</v>
      </c>
      <c r="D11" t="s">
        <v>1325</v>
      </c>
      <c r="E11" t="s">
        <v>1228</v>
      </c>
      <c r="F11">
        <v>127.5</v>
      </c>
      <c r="G11">
        <v>1</v>
      </c>
      <c r="H11">
        <v>3</v>
      </c>
      <c r="I11">
        <v>48</v>
      </c>
      <c r="J11">
        <v>29</v>
      </c>
      <c r="K11" t="s">
        <v>1186</v>
      </c>
      <c r="L11" t="s">
        <v>1325</v>
      </c>
      <c r="M11" t="s">
        <v>1207</v>
      </c>
      <c r="N11" t="s">
        <v>1188</v>
      </c>
      <c r="Q11" s="11">
        <v>1</v>
      </c>
    </row>
    <row r="12" spans="1:17" ht="14.25">
      <c r="A12">
        <v>36</v>
      </c>
      <c r="B12">
        <v>43884</v>
      </c>
      <c r="C12" t="s">
        <v>1213</v>
      </c>
      <c r="D12" t="s">
        <v>1334</v>
      </c>
      <c r="E12" t="s">
        <v>1233</v>
      </c>
      <c r="F12">
        <v>1930</v>
      </c>
      <c r="G12">
        <v>1</v>
      </c>
      <c r="H12">
        <v>4</v>
      </c>
      <c r="I12">
        <v>41</v>
      </c>
      <c r="J12">
        <v>3</v>
      </c>
      <c r="K12" t="s">
        <v>1195</v>
      </c>
      <c r="L12" t="s">
        <v>1334</v>
      </c>
      <c r="M12" t="s">
        <v>1114</v>
      </c>
      <c r="N12" t="s">
        <v>1188</v>
      </c>
      <c r="Q12" s="11">
        <v>1</v>
      </c>
    </row>
    <row r="13" spans="1:17" ht="14.25">
      <c r="A13">
        <v>37</v>
      </c>
      <c r="B13">
        <v>43896</v>
      </c>
      <c r="C13" t="s">
        <v>1211</v>
      </c>
      <c r="D13" t="s">
        <v>1326</v>
      </c>
      <c r="E13" t="s">
        <v>1241</v>
      </c>
      <c r="F13">
        <v>680</v>
      </c>
      <c r="G13">
        <v>4</v>
      </c>
      <c r="H13">
        <v>8</v>
      </c>
      <c r="I13">
        <v>8</v>
      </c>
      <c r="J13">
        <v>6</v>
      </c>
      <c r="K13" t="s">
        <v>1212</v>
      </c>
      <c r="L13" t="s">
        <v>1326</v>
      </c>
      <c r="M13" t="s">
        <v>1187</v>
      </c>
      <c r="N13" t="s">
        <v>1188</v>
      </c>
      <c r="Q13" s="11">
        <v>4</v>
      </c>
    </row>
    <row r="14" spans="1:17" ht="14.25">
      <c r="A14">
        <v>38</v>
      </c>
      <c r="B14">
        <v>43900</v>
      </c>
      <c r="C14" t="s">
        <v>1190</v>
      </c>
      <c r="D14" t="s">
        <v>1327</v>
      </c>
      <c r="E14" t="s">
        <v>1231</v>
      </c>
      <c r="F14">
        <v>13800</v>
      </c>
      <c r="G14">
        <v>2</v>
      </c>
      <c r="H14">
        <v>9</v>
      </c>
      <c r="I14">
        <v>43</v>
      </c>
      <c r="J14">
        <v>28</v>
      </c>
      <c r="K14" t="s">
        <v>1192</v>
      </c>
      <c r="L14" t="s">
        <v>1327</v>
      </c>
      <c r="M14" t="s">
        <v>1137</v>
      </c>
      <c r="N14" t="s">
        <v>1188</v>
      </c>
      <c r="Q14" s="11">
        <v>2</v>
      </c>
    </row>
    <row r="15" spans="1:17" ht="14.25">
      <c r="A15">
        <v>39</v>
      </c>
      <c r="B15">
        <v>43912</v>
      </c>
      <c r="C15" t="s">
        <v>1205</v>
      </c>
      <c r="D15" t="s">
        <v>1333</v>
      </c>
      <c r="E15" t="s">
        <v>1228</v>
      </c>
      <c r="F15">
        <v>1275</v>
      </c>
      <c r="G15">
        <v>2</v>
      </c>
      <c r="H15">
        <v>3</v>
      </c>
      <c r="I15">
        <v>48</v>
      </c>
      <c r="J15">
        <v>8</v>
      </c>
      <c r="K15" t="s">
        <v>1186</v>
      </c>
      <c r="L15" t="s">
        <v>1333</v>
      </c>
      <c r="M15" t="s">
        <v>1209</v>
      </c>
      <c r="N15" t="s">
        <v>1188</v>
      </c>
      <c r="Q15" s="11">
        <v>2</v>
      </c>
    </row>
    <row r="16" spans="1:17" ht="14.25">
      <c r="A16">
        <v>40</v>
      </c>
      <c r="B16">
        <v>43914</v>
      </c>
      <c r="C16" t="s">
        <v>1213</v>
      </c>
      <c r="D16" t="s">
        <v>1335</v>
      </c>
      <c r="E16" t="s">
        <v>1243</v>
      </c>
      <c r="F16">
        <v>598</v>
      </c>
      <c r="G16">
        <v>1</v>
      </c>
      <c r="H16">
        <v>4</v>
      </c>
      <c r="I16">
        <v>81</v>
      </c>
      <c r="J16">
        <v>10</v>
      </c>
      <c r="K16" t="s">
        <v>1192</v>
      </c>
      <c r="L16" t="s">
        <v>1335</v>
      </c>
      <c r="M16" t="s">
        <v>1202</v>
      </c>
      <c r="N16" t="s">
        <v>1188</v>
      </c>
      <c r="Q16" s="11">
        <v>1</v>
      </c>
    </row>
    <row r="17" spans="1:17" ht="14.25">
      <c r="A17">
        <v>42</v>
      </c>
      <c r="B17">
        <v>43914</v>
      </c>
      <c r="C17" t="s">
        <v>1219</v>
      </c>
      <c r="D17" t="s">
        <v>1335</v>
      </c>
      <c r="E17" t="s">
        <v>1235</v>
      </c>
      <c r="F17">
        <v>250</v>
      </c>
      <c r="G17">
        <v>4</v>
      </c>
      <c r="H17">
        <v>1</v>
      </c>
      <c r="I17">
        <v>6</v>
      </c>
      <c r="J17">
        <v>10</v>
      </c>
      <c r="K17" t="s">
        <v>1197</v>
      </c>
      <c r="L17" t="s">
        <v>1335</v>
      </c>
      <c r="M17" t="s">
        <v>1202</v>
      </c>
      <c r="N17" t="s">
        <v>1188</v>
      </c>
      <c r="Q17" s="11">
        <v>4</v>
      </c>
    </row>
    <row r="18" spans="1:17" ht="14.25">
      <c r="A18">
        <v>42</v>
      </c>
      <c r="B18">
        <v>43914</v>
      </c>
      <c r="C18" t="s">
        <v>1219</v>
      </c>
      <c r="D18" t="s">
        <v>1335</v>
      </c>
      <c r="E18" t="s">
        <v>1237</v>
      </c>
      <c r="F18">
        <v>220</v>
      </c>
      <c r="G18">
        <v>4</v>
      </c>
      <c r="H18">
        <v>1</v>
      </c>
      <c r="I18">
        <v>4</v>
      </c>
      <c r="J18">
        <v>10</v>
      </c>
      <c r="K18" t="s">
        <v>1201</v>
      </c>
      <c r="L18" t="s">
        <v>1335</v>
      </c>
      <c r="M18" t="s">
        <v>1202</v>
      </c>
      <c r="N18" t="s">
        <v>1188</v>
      </c>
      <c r="Q18" s="11">
        <v>4</v>
      </c>
    </row>
    <row r="19" spans="1:17" ht="14.25">
      <c r="A19">
        <v>42</v>
      </c>
      <c r="B19">
        <v>43914</v>
      </c>
      <c r="C19" t="s">
        <v>1219</v>
      </c>
      <c r="D19" t="s">
        <v>1335</v>
      </c>
      <c r="E19" t="s">
        <v>1249</v>
      </c>
      <c r="F19">
        <v>92</v>
      </c>
      <c r="G19">
        <v>2</v>
      </c>
      <c r="H19">
        <v>1</v>
      </c>
      <c r="I19">
        <v>19</v>
      </c>
      <c r="J19">
        <v>10</v>
      </c>
      <c r="K19" t="s">
        <v>1203</v>
      </c>
      <c r="L19" t="s">
        <v>1335</v>
      </c>
      <c r="M19" t="s">
        <v>1202</v>
      </c>
      <c r="N19" t="s">
        <v>1188</v>
      </c>
      <c r="Q19" s="11">
        <v>2</v>
      </c>
    </row>
    <row r="20" spans="1:17" ht="14.25">
      <c r="A20">
        <v>45</v>
      </c>
      <c r="B20">
        <v>43928</v>
      </c>
      <c r="C20" t="s">
        <v>1219</v>
      </c>
      <c r="D20" t="s">
        <v>1327</v>
      </c>
      <c r="E20" t="s">
        <v>1233</v>
      </c>
      <c r="F20">
        <v>482.5</v>
      </c>
      <c r="G20">
        <v>4</v>
      </c>
      <c r="H20">
        <v>1</v>
      </c>
      <c r="I20">
        <v>41</v>
      </c>
      <c r="J20">
        <v>28</v>
      </c>
      <c r="K20" t="s">
        <v>1195</v>
      </c>
      <c r="L20" t="s">
        <v>1327</v>
      </c>
      <c r="M20" t="s">
        <v>1137</v>
      </c>
      <c r="N20" t="s">
        <v>1188</v>
      </c>
      <c r="Q20" s="11">
        <v>4</v>
      </c>
    </row>
    <row r="21" spans="1:17" ht="14.25">
      <c r="A21">
        <v>45</v>
      </c>
      <c r="B21">
        <v>43928</v>
      </c>
      <c r="C21" t="s">
        <v>1219</v>
      </c>
      <c r="D21" t="s">
        <v>1327</v>
      </c>
      <c r="E21" t="s">
        <v>1234</v>
      </c>
      <c r="F21">
        <v>920</v>
      </c>
      <c r="G21">
        <v>2</v>
      </c>
      <c r="H21">
        <v>1</v>
      </c>
      <c r="I21">
        <v>40</v>
      </c>
      <c r="J21">
        <v>28</v>
      </c>
      <c r="K21" t="s">
        <v>1196</v>
      </c>
      <c r="L21" t="s">
        <v>1327</v>
      </c>
      <c r="M21" t="s">
        <v>1137</v>
      </c>
      <c r="N21" t="s">
        <v>1188</v>
      </c>
      <c r="Q21" s="11">
        <v>2</v>
      </c>
    </row>
    <row r="22" spans="1:17" ht="14.25">
      <c r="A22">
        <v>46</v>
      </c>
      <c r="B22">
        <v>43926</v>
      </c>
      <c r="C22" t="s">
        <v>1224</v>
      </c>
      <c r="D22" t="s">
        <v>1338</v>
      </c>
      <c r="E22" t="s">
        <v>1246</v>
      </c>
      <c r="F22">
        <v>1740</v>
      </c>
      <c r="G22">
        <v>1</v>
      </c>
      <c r="H22">
        <v>7</v>
      </c>
      <c r="I22">
        <v>72</v>
      </c>
      <c r="J22">
        <v>9</v>
      </c>
      <c r="K22" t="s">
        <v>1218</v>
      </c>
      <c r="L22" t="s">
        <v>1338</v>
      </c>
      <c r="M22" t="s">
        <v>1227</v>
      </c>
      <c r="N22" t="s">
        <v>1188</v>
      </c>
      <c r="Q22" s="11">
        <v>1</v>
      </c>
    </row>
    <row r="23" spans="1:17" ht="14.25">
      <c r="A23">
        <v>46</v>
      </c>
      <c r="B23">
        <v>43926</v>
      </c>
      <c r="C23" t="s">
        <v>1224</v>
      </c>
      <c r="D23" t="s">
        <v>1338</v>
      </c>
      <c r="E23" t="s">
        <v>1248</v>
      </c>
      <c r="F23">
        <v>1950</v>
      </c>
      <c r="G23">
        <v>2</v>
      </c>
      <c r="H23">
        <v>7</v>
      </c>
      <c r="I23">
        <v>57</v>
      </c>
      <c r="J23">
        <v>9</v>
      </c>
      <c r="K23" t="s">
        <v>1226</v>
      </c>
      <c r="L23" t="s">
        <v>1338</v>
      </c>
      <c r="M23" t="s">
        <v>1227</v>
      </c>
      <c r="N23" t="s">
        <v>1188</v>
      </c>
      <c r="Q23" s="11">
        <v>2</v>
      </c>
    </row>
    <row r="24" spans="1:17" ht="14.25">
      <c r="A24">
        <v>47</v>
      </c>
      <c r="B24">
        <v>43929</v>
      </c>
      <c r="C24" t="s">
        <v>1217</v>
      </c>
      <c r="D24" t="s">
        <v>1326</v>
      </c>
      <c r="E24" t="s">
        <v>1236</v>
      </c>
      <c r="F24">
        <v>4200</v>
      </c>
      <c r="G24">
        <v>2</v>
      </c>
      <c r="H24">
        <v>6</v>
      </c>
      <c r="I24">
        <v>34</v>
      </c>
      <c r="J24">
        <v>6</v>
      </c>
      <c r="K24" t="s">
        <v>1192</v>
      </c>
      <c r="L24" t="s">
        <v>1326</v>
      </c>
      <c r="M24" t="s">
        <v>1187</v>
      </c>
      <c r="N24" t="s">
        <v>1188</v>
      </c>
      <c r="Q24" s="11">
        <v>2</v>
      </c>
    </row>
    <row r="25" spans="1:17" ht="14.25">
      <c r="A25">
        <v>48</v>
      </c>
      <c r="B25">
        <v>43926</v>
      </c>
      <c r="C25" t="s">
        <v>1213</v>
      </c>
      <c r="D25" t="s">
        <v>1333</v>
      </c>
      <c r="E25" t="s">
        <v>1249</v>
      </c>
      <c r="F25">
        <v>230</v>
      </c>
      <c r="G25">
        <v>3</v>
      </c>
      <c r="H25">
        <v>4</v>
      </c>
      <c r="I25">
        <v>19</v>
      </c>
      <c r="J25">
        <v>8</v>
      </c>
      <c r="K25" t="s">
        <v>1203</v>
      </c>
      <c r="L25" t="s">
        <v>1333</v>
      </c>
      <c r="M25" t="s">
        <v>1209</v>
      </c>
      <c r="N25" t="s">
        <v>1188</v>
      </c>
      <c r="Q25" s="11">
        <v>3</v>
      </c>
    </row>
    <row r="26" spans="1:17" ht="14.25">
      <c r="A26">
        <v>48</v>
      </c>
      <c r="B26">
        <v>43926</v>
      </c>
      <c r="C26" t="s">
        <v>1213</v>
      </c>
      <c r="D26" t="s">
        <v>1333</v>
      </c>
      <c r="E26" t="s">
        <v>1241</v>
      </c>
      <c r="F26">
        <v>1000</v>
      </c>
      <c r="G26">
        <v>1</v>
      </c>
      <c r="H26">
        <v>4</v>
      </c>
      <c r="I26">
        <v>8</v>
      </c>
      <c r="J26">
        <v>8</v>
      </c>
      <c r="K26" t="s">
        <v>1212</v>
      </c>
      <c r="L26" t="s">
        <v>1333</v>
      </c>
      <c r="M26" t="s">
        <v>1209</v>
      </c>
      <c r="N26" t="s">
        <v>1188</v>
      </c>
      <c r="Q26" s="11">
        <v>1</v>
      </c>
    </row>
    <row r="27" spans="1:17" ht="14.25">
      <c r="A27">
        <v>50</v>
      </c>
      <c r="B27">
        <v>43926</v>
      </c>
      <c r="C27" t="s">
        <v>1190</v>
      </c>
      <c r="D27" t="s">
        <v>1331</v>
      </c>
      <c r="E27" t="s">
        <v>1238</v>
      </c>
      <c r="F27">
        <v>200</v>
      </c>
      <c r="G27">
        <v>4</v>
      </c>
      <c r="H27">
        <v>9</v>
      </c>
      <c r="I27">
        <v>21</v>
      </c>
      <c r="J27">
        <v>25</v>
      </c>
      <c r="K27" t="s">
        <v>1203</v>
      </c>
      <c r="L27" t="s">
        <v>1331</v>
      </c>
      <c r="M27" t="s">
        <v>1202</v>
      </c>
      <c r="N27" t="s">
        <v>1188</v>
      </c>
      <c r="Q27" s="11">
        <v>4</v>
      </c>
    </row>
    <row r="28" spans="1:17" ht="14.25">
      <c r="A28">
        <v>51</v>
      </c>
      <c r="B28">
        <v>43926</v>
      </c>
      <c r="C28" t="s">
        <v>1190</v>
      </c>
      <c r="D28" t="s">
        <v>1329</v>
      </c>
      <c r="E28" t="s">
        <v>1233</v>
      </c>
      <c r="F28">
        <v>289.5</v>
      </c>
      <c r="G28">
        <v>2</v>
      </c>
      <c r="H28">
        <v>9</v>
      </c>
      <c r="I28">
        <v>41</v>
      </c>
      <c r="J28">
        <v>26</v>
      </c>
      <c r="K28" t="s">
        <v>1195</v>
      </c>
      <c r="L28" t="s">
        <v>1329</v>
      </c>
      <c r="M28" t="s">
        <v>1084</v>
      </c>
      <c r="N28" t="s">
        <v>1188</v>
      </c>
      <c r="Q28" s="11">
        <v>2</v>
      </c>
    </row>
    <row r="29" spans="1:17" ht="14.25">
      <c r="A29">
        <v>51</v>
      </c>
      <c r="B29">
        <v>43926</v>
      </c>
      <c r="C29" t="s">
        <v>1190</v>
      </c>
      <c r="D29" t="s">
        <v>1329</v>
      </c>
      <c r="E29" t="s">
        <v>1234</v>
      </c>
      <c r="F29">
        <v>552</v>
      </c>
      <c r="G29">
        <v>3</v>
      </c>
      <c r="H29">
        <v>9</v>
      </c>
      <c r="I29">
        <v>40</v>
      </c>
      <c r="J29">
        <v>26</v>
      </c>
      <c r="K29" t="s">
        <v>1196</v>
      </c>
      <c r="L29" t="s">
        <v>1329</v>
      </c>
      <c r="M29" t="s">
        <v>1084</v>
      </c>
      <c r="N29" t="s">
        <v>1188</v>
      </c>
      <c r="Q29" s="11">
        <v>3</v>
      </c>
    </row>
    <row r="30" spans="1:17" ht="14.25">
      <c r="A30">
        <v>51</v>
      </c>
      <c r="B30">
        <v>43926</v>
      </c>
      <c r="C30" t="s">
        <v>1190</v>
      </c>
      <c r="D30" t="s">
        <v>1329</v>
      </c>
      <c r="E30" t="s">
        <v>1232</v>
      </c>
      <c r="F30">
        <v>533.75</v>
      </c>
      <c r="G30">
        <v>2</v>
      </c>
      <c r="H30">
        <v>9</v>
      </c>
      <c r="I30">
        <v>5</v>
      </c>
      <c r="J30">
        <v>26</v>
      </c>
      <c r="K30" t="s">
        <v>1194</v>
      </c>
      <c r="L30" t="s">
        <v>1329</v>
      </c>
      <c r="M30" t="s">
        <v>1084</v>
      </c>
      <c r="N30" t="s">
        <v>1188</v>
      </c>
      <c r="Q30" s="11">
        <v>2</v>
      </c>
    </row>
    <row r="31" spans="1:17" ht="14.25">
      <c r="A31">
        <v>55</v>
      </c>
      <c r="B31">
        <v>43926</v>
      </c>
      <c r="C31" t="s">
        <v>1219</v>
      </c>
      <c r="D31" t="s">
        <v>1325</v>
      </c>
      <c r="E31" t="s">
        <v>1236</v>
      </c>
      <c r="F31">
        <v>1218</v>
      </c>
      <c r="G31">
        <v>3</v>
      </c>
      <c r="H31">
        <v>1</v>
      </c>
      <c r="I31">
        <v>34</v>
      </c>
      <c r="J31">
        <v>29</v>
      </c>
      <c r="K31" t="s">
        <v>1192</v>
      </c>
      <c r="L31" t="s">
        <v>1325</v>
      </c>
      <c r="M31" t="s">
        <v>1207</v>
      </c>
      <c r="N31" t="s">
        <v>1188</v>
      </c>
      <c r="Q31" s="11">
        <v>3</v>
      </c>
    </row>
    <row r="32" spans="1:17" ht="14.25">
      <c r="A32">
        <v>56</v>
      </c>
      <c r="B32">
        <v>43924</v>
      </c>
      <c r="C32" t="s">
        <v>1184</v>
      </c>
      <c r="D32" t="s">
        <v>1326</v>
      </c>
      <c r="E32" t="s">
        <v>1228</v>
      </c>
      <c r="F32">
        <v>127.5</v>
      </c>
      <c r="G32">
        <v>2</v>
      </c>
      <c r="H32">
        <v>2</v>
      </c>
      <c r="I32">
        <v>48</v>
      </c>
      <c r="J32">
        <v>6</v>
      </c>
      <c r="K32" t="s">
        <v>1186</v>
      </c>
      <c r="L32" t="s">
        <v>1326</v>
      </c>
      <c r="M32" t="s">
        <v>1187</v>
      </c>
      <c r="N32" t="s">
        <v>1188</v>
      </c>
      <c r="Q32" s="11">
        <v>2</v>
      </c>
    </row>
    <row r="33" spans="1:17" ht="14.25">
      <c r="A33">
        <v>58</v>
      </c>
      <c r="B33">
        <v>43943</v>
      </c>
      <c r="C33" t="s">
        <v>1205</v>
      </c>
      <c r="D33" t="s">
        <v>1332</v>
      </c>
      <c r="E33" t="s">
        <v>1250</v>
      </c>
      <c r="F33">
        <v>280</v>
      </c>
      <c r="G33">
        <v>4</v>
      </c>
      <c r="H33">
        <v>3</v>
      </c>
      <c r="I33">
        <v>52</v>
      </c>
      <c r="J33">
        <v>4</v>
      </c>
      <c r="K33" t="s">
        <v>1210</v>
      </c>
      <c r="L33" t="s">
        <v>1332</v>
      </c>
      <c r="M33" t="s">
        <v>1073</v>
      </c>
      <c r="N33" t="s">
        <v>1188</v>
      </c>
      <c r="Q33" s="11">
        <v>4</v>
      </c>
    </row>
    <row r="34" spans="1:17" ht="14.25">
      <c r="A34">
        <v>58</v>
      </c>
      <c r="B34">
        <v>43943</v>
      </c>
      <c r="C34" t="s">
        <v>1205</v>
      </c>
      <c r="D34" t="s">
        <v>1332</v>
      </c>
      <c r="E34" t="s">
        <v>1240</v>
      </c>
      <c r="F34">
        <v>3240</v>
      </c>
      <c r="G34">
        <v>3</v>
      </c>
      <c r="H34">
        <v>3</v>
      </c>
      <c r="I34">
        <v>20</v>
      </c>
      <c r="J34">
        <v>4</v>
      </c>
      <c r="K34" t="s">
        <v>1197</v>
      </c>
      <c r="L34" t="s">
        <v>1332</v>
      </c>
      <c r="M34" t="s">
        <v>1073</v>
      </c>
      <c r="N34" t="s">
        <v>1188</v>
      </c>
      <c r="Q34" s="11">
        <v>3</v>
      </c>
    </row>
    <row r="35" spans="1:17" ht="14.25">
      <c r="A35">
        <v>60</v>
      </c>
      <c r="B35">
        <v>43951</v>
      </c>
      <c r="C35" t="s">
        <v>1217</v>
      </c>
      <c r="D35" t="s">
        <v>1333</v>
      </c>
      <c r="E35" t="s">
        <v>1246</v>
      </c>
      <c r="F35">
        <v>1392</v>
      </c>
      <c r="G35">
        <v>4</v>
      </c>
      <c r="H35">
        <v>6</v>
      </c>
      <c r="I35">
        <v>72</v>
      </c>
      <c r="J35">
        <v>8</v>
      </c>
      <c r="K35" t="s">
        <v>1218</v>
      </c>
      <c r="L35" t="s">
        <v>1333</v>
      </c>
      <c r="M35" t="s">
        <v>1209</v>
      </c>
      <c r="N35" t="s">
        <v>1188</v>
      </c>
      <c r="Q35" s="11">
        <v>4</v>
      </c>
    </row>
    <row r="36" spans="1:17" ht="14.25">
      <c r="A36">
        <v>63</v>
      </c>
      <c r="B36">
        <v>43946</v>
      </c>
      <c r="C36" t="s">
        <v>1213</v>
      </c>
      <c r="D36" t="s">
        <v>1334</v>
      </c>
      <c r="E36" t="s">
        <v>1241</v>
      </c>
      <c r="F36">
        <v>120</v>
      </c>
      <c r="G36">
        <v>2</v>
      </c>
      <c r="H36">
        <v>4</v>
      </c>
      <c r="I36">
        <v>8</v>
      </c>
      <c r="J36">
        <v>3</v>
      </c>
      <c r="K36" t="s">
        <v>1212</v>
      </c>
      <c r="L36" t="s">
        <v>1334</v>
      </c>
      <c r="M36" t="s">
        <v>1114</v>
      </c>
      <c r="N36" t="s">
        <v>1188</v>
      </c>
      <c r="Q36" s="11">
        <v>2</v>
      </c>
    </row>
    <row r="37" spans="1:17" ht="14.25">
      <c r="A37">
        <v>63</v>
      </c>
      <c r="B37">
        <v>43946</v>
      </c>
      <c r="C37" t="s">
        <v>1213</v>
      </c>
      <c r="D37" t="s">
        <v>1334</v>
      </c>
      <c r="E37" t="s">
        <v>1244</v>
      </c>
      <c r="F37">
        <v>500</v>
      </c>
      <c r="G37">
        <v>2</v>
      </c>
      <c r="H37">
        <v>4</v>
      </c>
      <c r="I37">
        <v>3</v>
      </c>
      <c r="J37">
        <v>3</v>
      </c>
      <c r="K37" t="s">
        <v>1201</v>
      </c>
      <c r="L37" t="s">
        <v>1334</v>
      </c>
      <c r="M37" t="s">
        <v>1114</v>
      </c>
      <c r="N37" t="s">
        <v>1188</v>
      </c>
      <c r="Q37" s="11">
        <v>2</v>
      </c>
    </row>
    <row r="38" spans="1:17" ht="14.25">
      <c r="A38">
        <v>67</v>
      </c>
      <c r="B38">
        <v>43975</v>
      </c>
      <c r="C38" t="s">
        <v>1213</v>
      </c>
      <c r="D38" t="s">
        <v>1335</v>
      </c>
      <c r="E38" t="s">
        <v>1245</v>
      </c>
      <c r="F38">
        <v>200</v>
      </c>
      <c r="G38">
        <v>4</v>
      </c>
      <c r="H38">
        <v>4</v>
      </c>
      <c r="I38">
        <v>74</v>
      </c>
      <c r="J38">
        <v>10</v>
      </c>
      <c r="K38" t="s">
        <v>1189</v>
      </c>
      <c r="L38" t="s">
        <v>1335</v>
      </c>
      <c r="M38" t="s">
        <v>1202</v>
      </c>
      <c r="N38" t="s">
        <v>1188</v>
      </c>
      <c r="Q38" s="11">
        <v>4</v>
      </c>
    </row>
    <row r="39" spans="1:17" ht="14.25">
      <c r="A39">
        <v>69</v>
      </c>
      <c r="B39">
        <v>43975</v>
      </c>
      <c r="C39" t="s">
        <v>1219</v>
      </c>
      <c r="D39" t="s">
        <v>1335</v>
      </c>
      <c r="E39" t="s">
        <v>1239</v>
      </c>
      <c r="F39">
        <v>52.5</v>
      </c>
      <c r="G39">
        <v>3</v>
      </c>
      <c r="H39">
        <v>1</v>
      </c>
      <c r="I39">
        <v>80</v>
      </c>
      <c r="J39">
        <v>10</v>
      </c>
      <c r="K39" t="s">
        <v>1189</v>
      </c>
      <c r="L39" t="s">
        <v>1335</v>
      </c>
      <c r="M39" t="s">
        <v>1202</v>
      </c>
      <c r="N39" t="s">
        <v>1188</v>
      </c>
      <c r="Q39" s="11">
        <v>3</v>
      </c>
    </row>
    <row r="40" spans="1:17" ht="14.25">
      <c r="A40">
        <v>70</v>
      </c>
      <c r="B40">
        <v>43975</v>
      </c>
      <c r="C40" t="s">
        <v>1219</v>
      </c>
      <c r="D40" t="s">
        <v>1337</v>
      </c>
      <c r="E40" t="s">
        <v>1241</v>
      </c>
      <c r="F40">
        <v>800</v>
      </c>
      <c r="G40">
        <v>1</v>
      </c>
      <c r="H40">
        <v>1</v>
      </c>
      <c r="I40">
        <v>8</v>
      </c>
      <c r="J40">
        <v>11</v>
      </c>
      <c r="K40" t="s">
        <v>1212</v>
      </c>
      <c r="L40" t="s">
        <v>1337</v>
      </c>
      <c r="M40" t="s">
        <v>1084</v>
      </c>
      <c r="N40" t="s">
        <v>1188</v>
      </c>
      <c r="Q40" s="11">
        <v>1</v>
      </c>
    </row>
    <row r="41" spans="1:17" ht="14.25">
      <c r="A41">
        <v>71</v>
      </c>
      <c r="B41">
        <v>43975</v>
      </c>
      <c r="C41" t="s">
        <v>1219</v>
      </c>
      <c r="D41" t="s">
        <v>1336</v>
      </c>
      <c r="E41" t="s">
        <v>1234</v>
      </c>
      <c r="F41">
        <v>736</v>
      </c>
      <c r="G41">
        <v>2</v>
      </c>
      <c r="H41">
        <v>1</v>
      </c>
      <c r="I41">
        <v>40</v>
      </c>
      <c r="J41">
        <v>1</v>
      </c>
      <c r="K41" t="s">
        <v>1196</v>
      </c>
      <c r="L41" t="s">
        <v>1336</v>
      </c>
      <c r="M41" t="s">
        <v>1222</v>
      </c>
      <c r="N41" t="s">
        <v>1188</v>
      </c>
      <c r="Q41" s="11">
        <v>2</v>
      </c>
    </row>
    <row r="42" spans="1:17" ht="14.25">
      <c r="A42">
        <v>72</v>
      </c>
      <c r="B42">
        <v>43989</v>
      </c>
      <c r="C42" t="s">
        <v>1219</v>
      </c>
      <c r="D42" t="s">
        <v>1327</v>
      </c>
      <c r="E42" t="s">
        <v>1231</v>
      </c>
      <c r="F42">
        <v>230</v>
      </c>
      <c r="G42">
        <v>2</v>
      </c>
      <c r="H42">
        <v>1</v>
      </c>
      <c r="I42">
        <v>43</v>
      </c>
      <c r="J42">
        <v>28</v>
      </c>
      <c r="K42" t="s">
        <v>1192</v>
      </c>
      <c r="L42" t="s">
        <v>1327</v>
      </c>
      <c r="M42" t="s">
        <v>1137</v>
      </c>
      <c r="N42" t="s">
        <v>1188</v>
      </c>
      <c r="Q42" s="11">
        <v>2</v>
      </c>
    </row>
    <row r="43" spans="1:17" ht="14.25">
      <c r="A43">
        <v>73</v>
      </c>
      <c r="B43">
        <v>43987</v>
      </c>
      <c r="C43" t="s">
        <v>1224</v>
      </c>
      <c r="D43" t="s">
        <v>1338</v>
      </c>
      <c r="E43" t="s">
        <v>1233</v>
      </c>
      <c r="F43">
        <v>96.5</v>
      </c>
      <c r="G43">
        <v>3</v>
      </c>
      <c r="H43">
        <v>7</v>
      </c>
      <c r="I43">
        <v>41</v>
      </c>
      <c r="J43">
        <v>9</v>
      </c>
      <c r="K43" t="s">
        <v>1195</v>
      </c>
      <c r="L43" t="s">
        <v>1338</v>
      </c>
      <c r="M43" t="s">
        <v>1227</v>
      </c>
      <c r="N43" t="s">
        <v>1188</v>
      </c>
      <c r="Q43" s="11">
        <v>3</v>
      </c>
    </row>
    <row r="44" spans="1:17" ht="14.25">
      <c r="A44">
        <v>74</v>
      </c>
      <c r="B44">
        <v>43990</v>
      </c>
      <c r="C44" t="s">
        <v>1217</v>
      </c>
      <c r="D44" t="s">
        <v>1326</v>
      </c>
      <c r="E44" t="s">
        <v>1228</v>
      </c>
      <c r="F44">
        <v>510</v>
      </c>
      <c r="G44">
        <v>1</v>
      </c>
      <c r="H44">
        <v>6</v>
      </c>
      <c r="I44">
        <v>48</v>
      </c>
      <c r="J44">
        <v>6</v>
      </c>
      <c r="K44" t="s">
        <v>1186</v>
      </c>
      <c r="L44" t="s">
        <v>1326</v>
      </c>
      <c r="M44" t="s">
        <v>1187</v>
      </c>
      <c r="N44" t="s">
        <v>1188</v>
      </c>
      <c r="Q44" s="11">
        <v>1</v>
      </c>
    </row>
    <row r="45" spans="1:17" ht="14.25">
      <c r="A45">
        <v>75</v>
      </c>
      <c r="B45">
        <v>43987</v>
      </c>
      <c r="C45" t="s">
        <v>1213</v>
      </c>
      <c r="D45" t="s">
        <v>1333</v>
      </c>
      <c r="E45" t="s">
        <v>1228</v>
      </c>
      <c r="F45">
        <v>510</v>
      </c>
      <c r="G45">
        <v>4</v>
      </c>
      <c r="H45">
        <v>4</v>
      </c>
      <c r="I45">
        <v>48</v>
      </c>
      <c r="J45">
        <v>8</v>
      </c>
      <c r="K45" t="s">
        <v>1186</v>
      </c>
      <c r="L45" t="s">
        <v>1333</v>
      </c>
      <c r="M45" t="s">
        <v>1209</v>
      </c>
      <c r="N45" t="s">
        <v>1188</v>
      </c>
      <c r="Q45" s="11">
        <v>4</v>
      </c>
    </row>
    <row r="46" spans="1:17" ht="14.25">
      <c r="A46">
        <v>76</v>
      </c>
      <c r="B46">
        <v>43987</v>
      </c>
      <c r="C46" t="s">
        <v>1190</v>
      </c>
      <c r="D46" t="s">
        <v>1331</v>
      </c>
      <c r="E46" t="s">
        <v>1237</v>
      </c>
      <c r="F46">
        <v>660</v>
      </c>
      <c r="G46">
        <v>3</v>
      </c>
      <c r="H46">
        <v>9</v>
      </c>
      <c r="I46">
        <v>4</v>
      </c>
      <c r="J46">
        <v>25</v>
      </c>
      <c r="K46" t="s">
        <v>1201</v>
      </c>
      <c r="L46" t="s">
        <v>1331</v>
      </c>
      <c r="M46" t="s">
        <v>1202</v>
      </c>
      <c r="N46" t="s">
        <v>1188</v>
      </c>
      <c r="Q46" s="11">
        <v>3</v>
      </c>
    </row>
    <row r="47" spans="1:17" ht="14.25">
      <c r="A47">
        <v>77</v>
      </c>
      <c r="B47">
        <v>43987</v>
      </c>
      <c r="C47" t="s">
        <v>1190</v>
      </c>
      <c r="D47" t="s">
        <v>1329</v>
      </c>
      <c r="E47" t="s">
        <v>1235</v>
      </c>
      <c r="F47">
        <v>2250</v>
      </c>
      <c r="G47">
        <v>1</v>
      </c>
      <c r="H47">
        <v>9</v>
      </c>
      <c r="I47">
        <v>6</v>
      </c>
      <c r="J47">
        <v>26</v>
      </c>
      <c r="K47" t="s">
        <v>1197</v>
      </c>
      <c r="L47" t="s">
        <v>1329</v>
      </c>
      <c r="M47" t="s">
        <v>1084</v>
      </c>
      <c r="N47" t="s">
        <v>1188</v>
      </c>
      <c r="Q47" s="11">
        <v>1</v>
      </c>
    </row>
    <row r="48" spans="1:17" ht="14.25">
      <c r="A48">
        <v>78</v>
      </c>
      <c r="B48">
        <v>43987</v>
      </c>
      <c r="C48" t="s">
        <v>1219</v>
      </c>
      <c r="D48" t="s">
        <v>1325</v>
      </c>
      <c r="E48" t="s">
        <v>1247</v>
      </c>
      <c r="F48">
        <v>1560</v>
      </c>
      <c r="G48">
        <v>3</v>
      </c>
      <c r="H48">
        <v>1</v>
      </c>
      <c r="I48">
        <v>17</v>
      </c>
      <c r="J48">
        <v>29</v>
      </c>
      <c r="K48" t="s">
        <v>1220</v>
      </c>
      <c r="L48" t="s">
        <v>1325</v>
      </c>
      <c r="M48" t="s">
        <v>1207</v>
      </c>
      <c r="N48" t="s">
        <v>1188</v>
      </c>
      <c r="Q48" s="11">
        <v>3</v>
      </c>
    </row>
    <row r="49" spans="1:17" ht="14.25">
      <c r="A49">
        <v>79</v>
      </c>
      <c r="B49">
        <v>44005</v>
      </c>
      <c r="C49" t="s">
        <v>1184</v>
      </c>
      <c r="D49" t="s">
        <v>1326</v>
      </c>
      <c r="E49" t="s">
        <v>1230</v>
      </c>
      <c r="F49">
        <v>1590</v>
      </c>
      <c r="G49">
        <v>3</v>
      </c>
      <c r="H49">
        <v>2</v>
      </c>
      <c r="I49">
        <v>51</v>
      </c>
      <c r="J49">
        <v>6</v>
      </c>
      <c r="K49" t="s">
        <v>1189</v>
      </c>
      <c r="L49" t="s">
        <v>1326</v>
      </c>
      <c r="M49" t="s">
        <v>1187</v>
      </c>
      <c r="N49" t="s">
        <v>1188</v>
      </c>
      <c r="Q49" s="11">
        <v>3</v>
      </c>
    </row>
    <row r="50" spans="1:17" ht="14.25">
      <c r="A50">
        <v>79</v>
      </c>
      <c r="B50">
        <v>44005</v>
      </c>
      <c r="C50" t="s">
        <v>1184</v>
      </c>
      <c r="D50" t="s">
        <v>1326</v>
      </c>
      <c r="E50" t="s">
        <v>1229</v>
      </c>
      <c r="F50">
        <v>900</v>
      </c>
      <c r="G50">
        <v>2</v>
      </c>
      <c r="H50">
        <v>2</v>
      </c>
      <c r="I50">
        <v>7</v>
      </c>
      <c r="J50">
        <v>6</v>
      </c>
      <c r="K50" t="s">
        <v>1189</v>
      </c>
      <c r="L50" t="s">
        <v>1326</v>
      </c>
      <c r="M50" t="s">
        <v>1187</v>
      </c>
      <c r="N50" t="s">
        <v>1188</v>
      </c>
      <c r="Q50" s="11">
        <v>2</v>
      </c>
    </row>
  </sheetData>
  <sortState xmlns:xlrd2="http://schemas.microsoft.com/office/spreadsheetml/2017/richdata2" ref="A2:N50">
    <sortCondition ref="A5:A50"/>
  </sortState>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B4FF9-8B28-4168-9B8A-60AFB35F68AB}">
  <sheetPr codeName="Sheet18">
    <tabColor theme="3"/>
  </sheetPr>
  <dimension ref="A1:B15"/>
  <sheetViews>
    <sheetView workbookViewId="0">
      <selection activeCell="A2" sqref="A2"/>
    </sheetView>
  </sheetViews>
  <sheetFormatPr defaultRowHeight="12.75"/>
  <cols>
    <col min="1" max="1" width="15.73046875" customWidth="1"/>
  </cols>
  <sheetData>
    <row r="1" spans="1:2" ht="14.25">
      <c r="A1" s="10" t="s">
        <v>1174</v>
      </c>
    </row>
    <row r="2" spans="1:2" ht="14.25">
      <c r="A2" s="12" t="s">
        <v>1185</v>
      </c>
      <c r="B2" t="s">
        <v>1326</v>
      </c>
    </row>
    <row r="3" spans="1:2" ht="14.25">
      <c r="A3" s="13" t="s">
        <v>1191</v>
      </c>
      <c r="B3" t="s">
        <v>1327</v>
      </c>
    </row>
    <row r="4" spans="1:2" ht="14.25">
      <c r="A4" s="14" t="s">
        <v>1193</v>
      </c>
      <c r="B4" t="s">
        <v>1329</v>
      </c>
    </row>
    <row r="5" spans="1:2" ht="14.25">
      <c r="A5" s="14" t="s">
        <v>1198</v>
      </c>
      <c r="B5" t="s">
        <v>1330</v>
      </c>
    </row>
    <row r="6" spans="1:2" ht="14.25">
      <c r="A6" s="13" t="s">
        <v>1200</v>
      </c>
      <c r="B6" t="s">
        <v>1331</v>
      </c>
    </row>
    <row r="7" spans="1:2" ht="14.25">
      <c r="A7" s="13" t="s">
        <v>1204</v>
      </c>
      <c r="B7" t="s">
        <v>1332</v>
      </c>
    </row>
    <row r="8" spans="1:2" ht="14.25">
      <c r="A8" s="13" t="s">
        <v>1206</v>
      </c>
      <c r="B8" t="s">
        <v>1325</v>
      </c>
    </row>
    <row r="9" spans="1:2" ht="14.25">
      <c r="A9" s="14" t="s">
        <v>1208</v>
      </c>
      <c r="B9" t="s">
        <v>1333</v>
      </c>
    </row>
    <row r="10" spans="1:2" ht="14.25">
      <c r="A10" s="13" t="s">
        <v>1214</v>
      </c>
      <c r="B10" t="s">
        <v>1334</v>
      </c>
    </row>
    <row r="11" spans="1:2" ht="14.25">
      <c r="A11" s="14" t="s">
        <v>1215</v>
      </c>
      <c r="B11" t="s">
        <v>1328</v>
      </c>
    </row>
    <row r="12" spans="1:2" ht="14.25">
      <c r="A12" s="14" t="s">
        <v>1216</v>
      </c>
      <c r="B12" t="s">
        <v>1335</v>
      </c>
    </row>
    <row r="13" spans="1:2" ht="14.25">
      <c r="A13" s="13" t="s">
        <v>1221</v>
      </c>
      <c r="B13" t="s">
        <v>1336</v>
      </c>
    </row>
    <row r="14" spans="1:2" ht="14.25">
      <c r="A14" s="13" t="s">
        <v>1223</v>
      </c>
      <c r="B14" t="s">
        <v>1337</v>
      </c>
    </row>
    <row r="15" spans="1:2" ht="14.25">
      <c r="A15" s="14" t="s">
        <v>1225</v>
      </c>
      <c r="B15" t="s">
        <v>1338</v>
      </c>
    </row>
  </sheetData>
  <sortState xmlns:xlrd2="http://schemas.microsoft.com/office/spreadsheetml/2017/richdata2" ref="D1:D85">
    <sortCondition ref="D1:D85"/>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3"/>
  </sheetPr>
  <dimension ref="A1:G877"/>
  <sheetViews>
    <sheetView workbookViewId="0">
      <pane ySplit="1" topLeftCell="A290" activePane="bottomLeft" state="frozen"/>
      <selection activeCell="C20" sqref="C20"/>
      <selection pane="bottomLeft" activeCell="C20" sqref="C20"/>
    </sheetView>
  </sheetViews>
  <sheetFormatPr defaultColWidth="8.86328125" defaultRowHeight="12.75"/>
  <cols>
    <col min="1" max="1" width="36.86328125" customWidth="1"/>
    <col min="2" max="2" width="12.3984375" customWidth="1"/>
    <col min="5" max="5" width="12.3984375" customWidth="1"/>
    <col min="6" max="6" width="12.86328125" customWidth="1"/>
  </cols>
  <sheetData>
    <row r="1" spans="1:7" ht="13.15">
      <c r="A1" s="5" t="s">
        <v>15</v>
      </c>
      <c r="B1" s="5" t="s">
        <v>16</v>
      </c>
      <c r="C1" s="5" t="s">
        <v>17</v>
      </c>
      <c r="D1" s="5" t="s">
        <v>18</v>
      </c>
      <c r="E1" s="5" t="s">
        <v>19</v>
      </c>
      <c r="F1" s="5" t="s">
        <v>20</v>
      </c>
      <c r="G1" s="5" t="s">
        <v>21</v>
      </c>
    </row>
    <row r="2" spans="1:7">
      <c r="A2" s="3" t="s">
        <v>22</v>
      </c>
      <c r="B2" s="3" t="s">
        <v>23</v>
      </c>
      <c r="C2" s="3" t="s">
        <v>24</v>
      </c>
      <c r="D2" s="3" t="s">
        <v>25</v>
      </c>
      <c r="E2" s="3">
        <v>5</v>
      </c>
      <c r="F2" s="3">
        <v>3</v>
      </c>
      <c r="G2" s="3">
        <v>199969</v>
      </c>
    </row>
    <row r="3" spans="1:7">
      <c r="A3" s="3" t="s">
        <v>26</v>
      </c>
      <c r="B3" s="3" t="s">
        <v>23</v>
      </c>
      <c r="C3" s="3" t="s">
        <v>24</v>
      </c>
      <c r="D3" s="3" t="s">
        <v>25</v>
      </c>
      <c r="E3" s="3">
        <v>5</v>
      </c>
      <c r="F3" s="3">
        <v>4</v>
      </c>
      <c r="G3" s="3">
        <v>268371</v>
      </c>
    </row>
    <row r="4" spans="1:7">
      <c r="A4" s="3" t="s">
        <v>27</v>
      </c>
      <c r="B4" s="3" t="s">
        <v>23</v>
      </c>
      <c r="C4" s="3" t="s">
        <v>24</v>
      </c>
      <c r="D4" s="3" t="s">
        <v>25</v>
      </c>
      <c r="E4" s="3">
        <v>3</v>
      </c>
      <c r="F4" s="3">
        <v>3</v>
      </c>
      <c r="G4" s="3">
        <v>176193</v>
      </c>
    </row>
    <row r="5" spans="1:7">
      <c r="A5" s="3" t="s">
        <v>28</v>
      </c>
      <c r="B5" s="3" t="s">
        <v>23</v>
      </c>
      <c r="C5" s="3" t="s">
        <v>24</v>
      </c>
      <c r="D5" s="3" t="s">
        <v>25</v>
      </c>
      <c r="E5" s="3">
        <v>5</v>
      </c>
      <c r="F5" s="3">
        <v>4</v>
      </c>
      <c r="G5" s="3">
        <v>239672</v>
      </c>
    </row>
    <row r="6" spans="1:7">
      <c r="A6" s="3" t="s">
        <v>29</v>
      </c>
      <c r="B6" s="3" t="s">
        <v>23</v>
      </c>
      <c r="C6" s="3" t="s">
        <v>24</v>
      </c>
      <c r="D6" s="3" t="s">
        <v>25</v>
      </c>
      <c r="E6" s="3">
        <v>2</v>
      </c>
      <c r="F6" s="3">
        <v>2</v>
      </c>
      <c r="G6" s="3">
        <v>98726</v>
      </c>
    </row>
    <row r="7" spans="1:7">
      <c r="A7" s="3" t="s">
        <v>30</v>
      </c>
      <c r="B7" s="3" t="s">
        <v>23</v>
      </c>
      <c r="C7" s="3" t="s">
        <v>24</v>
      </c>
      <c r="D7" s="3" t="s">
        <v>25</v>
      </c>
      <c r="E7" s="3">
        <v>4</v>
      </c>
      <c r="F7" s="3">
        <v>1</v>
      </c>
      <c r="G7" s="3">
        <v>173657</v>
      </c>
    </row>
    <row r="8" spans="1:7">
      <c r="A8" s="3" t="s">
        <v>31</v>
      </c>
      <c r="B8" s="3" t="s">
        <v>32</v>
      </c>
      <c r="C8" s="3" t="s">
        <v>24</v>
      </c>
      <c r="D8" s="3" t="s">
        <v>33</v>
      </c>
      <c r="E8" s="3">
        <v>5</v>
      </c>
      <c r="F8" s="3">
        <v>5</v>
      </c>
      <c r="G8" s="3">
        <v>244405</v>
      </c>
    </row>
    <row r="9" spans="1:7">
      <c r="A9" s="3" t="s">
        <v>34</v>
      </c>
      <c r="B9" s="3" t="s">
        <v>32</v>
      </c>
      <c r="C9" s="3" t="s">
        <v>24</v>
      </c>
      <c r="D9" s="3" t="s">
        <v>33</v>
      </c>
      <c r="E9" s="3">
        <v>2</v>
      </c>
      <c r="F9" s="3">
        <v>2</v>
      </c>
      <c r="G9" s="3">
        <v>100912</v>
      </c>
    </row>
    <row r="10" spans="1:7">
      <c r="A10" s="3" t="s">
        <v>35</v>
      </c>
      <c r="B10" s="3" t="s">
        <v>32</v>
      </c>
      <c r="C10" s="3" t="s">
        <v>24</v>
      </c>
      <c r="D10" s="3" t="s">
        <v>33</v>
      </c>
      <c r="E10" s="3">
        <v>4</v>
      </c>
      <c r="F10" s="3">
        <v>3</v>
      </c>
      <c r="G10" s="3">
        <v>180859</v>
      </c>
    </row>
    <row r="11" spans="1:7">
      <c r="A11" s="3" t="s">
        <v>36</v>
      </c>
      <c r="B11" s="3" t="s">
        <v>37</v>
      </c>
      <c r="C11" s="3" t="s">
        <v>24</v>
      </c>
      <c r="D11" s="3" t="s">
        <v>38</v>
      </c>
      <c r="E11" s="3">
        <v>2</v>
      </c>
      <c r="F11" s="3">
        <v>1</v>
      </c>
      <c r="G11" s="3">
        <v>96355</v>
      </c>
    </row>
    <row r="12" spans="1:7">
      <c r="A12" s="3" t="s">
        <v>39</v>
      </c>
      <c r="B12" s="3" t="s">
        <v>37</v>
      </c>
      <c r="C12" s="3" t="s">
        <v>24</v>
      </c>
      <c r="D12" s="3" t="s">
        <v>38</v>
      </c>
      <c r="E12" s="3">
        <v>4</v>
      </c>
      <c r="F12" s="3">
        <v>2</v>
      </c>
      <c r="G12" s="3">
        <v>147320</v>
      </c>
    </row>
    <row r="13" spans="1:7">
      <c r="A13" s="3" t="s">
        <v>40</v>
      </c>
      <c r="B13" s="3" t="s">
        <v>41</v>
      </c>
      <c r="C13" s="3" t="s">
        <v>24</v>
      </c>
      <c r="D13" s="3" t="s">
        <v>42</v>
      </c>
      <c r="E13" s="3">
        <v>3</v>
      </c>
      <c r="F13" s="3">
        <v>2</v>
      </c>
      <c r="G13" s="3">
        <v>152828</v>
      </c>
    </row>
    <row r="14" spans="1:7">
      <c r="A14" s="3" t="s">
        <v>43</v>
      </c>
      <c r="B14" s="3" t="s">
        <v>44</v>
      </c>
      <c r="C14" s="3" t="s">
        <v>24</v>
      </c>
      <c r="D14" s="3" t="s">
        <v>45</v>
      </c>
      <c r="E14" s="3">
        <v>5</v>
      </c>
      <c r="F14" s="3">
        <v>4</v>
      </c>
      <c r="G14" s="3">
        <v>278186</v>
      </c>
    </row>
    <row r="15" spans="1:7">
      <c r="A15" s="3" t="s">
        <v>46</v>
      </c>
      <c r="B15" s="3" t="s">
        <v>44</v>
      </c>
      <c r="C15" s="3" t="s">
        <v>24</v>
      </c>
      <c r="D15" s="3" t="s">
        <v>47</v>
      </c>
      <c r="E15" s="3">
        <v>3</v>
      </c>
      <c r="F15" s="3">
        <v>3</v>
      </c>
      <c r="G15" s="3">
        <v>136224</v>
      </c>
    </row>
    <row r="16" spans="1:7">
      <c r="A16" s="3" t="s">
        <v>48</v>
      </c>
      <c r="B16" s="3" t="s">
        <v>44</v>
      </c>
      <c r="C16" s="3" t="s">
        <v>24</v>
      </c>
      <c r="D16" s="3" t="s">
        <v>49</v>
      </c>
      <c r="E16" s="3">
        <v>3</v>
      </c>
      <c r="F16" s="3">
        <v>1</v>
      </c>
      <c r="G16" s="3">
        <v>136313</v>
      </c>
    </row>
    <row r="17" spans="1:7">
      <c r="A17" s="3" t="s">
        <v>50</v>
      </c>
      <c r="B17" s="3" t="s">
        <v>44</v>
      </c>
      <c r="C17" s="3" t="s">
        <v>24</v>
      </c>
      <c r="D17" s="3" t="s">
        <v>51</v>
      </c>
      <c r="E17" s="3">
        <v>4</v>
      </c>
      <c r="F17" s="3">
        <v>1</v>
      </c>
      <c r="G17" s="3">
        <v>157782</v>
      </c>
    </row>
    <row r="18" spans="1:7">
      <c r="A18" s="3" t="s">
        <v>52</v>
      </c>
      <c r="B18" s="3" t="s">
        <v>44</v>
      </c>
      <c r="C18" s="3" t="s">
        <v>24</v>
      </c>
      <c r="D18" s="3" t="s">
        <v>51</v>
      </c>
      <c r="E18" s="3">
        <v>4</v>
      </c>
      <c r="F18" s="3">
        <v>3</v>
      </c>
      <c r="G18" s="3">
        <v>184254</v>
      </c>
    </row>
    <row r="19" spans="1:7">
      <c r="A19" s="3" t="s">
        <v>53</v>
      </c>
      <c r="B19" s="3" t="s">
        <v>44</v>
      </c>
      <c r="C19" s="3" t="s">
        <v>24</v>
      </c>
      <c r="D19" s="3" t="s">
        <v>51</v>
      </c>
      <c r="E19" s="3">
        <v>5</v>
      </c>
      <c r="F19" s="3">
        <v>4</v>
      </c>
      <c r="G19" s="3">
        <v>246970</v>
      </c>
    </row>
    <row r="20" spans="1:7">
      <c r="A20" s="3" t="s">
        <v>54</v>
      </c>
      <c r="B20" s="3" t="s">
        <v>44</v>
      </c>
      <c r="C20" s="3" t="s">
        <v>24</v>
      </c>
      <c r="D20" s="3" t="s">
        <v>51</v>
      </c>
      <c r="E20" s="3">
        <v>4</v>
      </c>
      <c r="F20" s="3">
        <v>2</v>
      </c>
      <c r="G20" s="3">
        <v>195856</v>
      </c>
    </row>
    <row r="21" spans="1:7">
      <c r="A21" s="3" t="s">
        <v>55</v>
      </c>
      <c r="B21" s="3" t="s">
        <v>44</v>
      </c>
      <c r="C21" s="3" t="s">
        <v>24</v>
      </c>
      <c r="D21" s="3" t="s">
        <v>51</v>
      </c>
      <c r="E21" s="3">
        <v>2</v>
      </c>
      <c r="F21" s="3">
        <v>1</v>
      </c>
      <c r="G21" s="3">
        <v>70429</v>
      </c>
    </row>
    <row r="22" spans="1:7">
      <c r="A22" s="3" t="s">
        <v>56</v>
      </c>
      <c r="B22" s="3" t="s">
        <v>44</v>
      </c>
      <c r="C22" s="3" t="s">
        <v>24</v>
      </c>
      <c r="D22" s="3" t="s">
        <v>57</v>
      </c>
      <c r="E22" s="3">
        <v>4</v>
      </c>
      <c r="F22" s="3">
        <v>1</v>
      </c>
      <c r="G22" s="3">
        <v>168965</v>
      </c>
    </row>
    <row r="23" spans="1:7">
      <c r="A23" s="3" t="s">
        <v>58</v>
      </c>
      <c r="B23" s="3" t="s">
        <v>44</v>
      </c>
      <c r="C23" s="3" t="s">
        <v>24</v>
      </c>
      <c r="D23" s="3" t="s">
        <v>59</v>
      </c>
      <c r="E23" s="3">
        <v>4</v>
      </c>
      <c r="F23" s="3">
        <v>2</v>
      </c>
      <c r="G23" s="3">
        <v>177910</v>
      </c>
    </row>
    <row r="24" spans="1:7">
      <c r="A24" s="3" t="s">
        <v>60</v>
      </c>
      <c r="B24" s="3" t="s">
        <v>44</v>
      </c>
      <c r="C24" s="3" t="s">
        <v>24</v>
      </c>
      <c r="D24" s="3" t="s">
        <v>59</v>
      </c>
      <c r="E24" s="3">
        <v>5</v>
      </c>
      <c r="F24" s="3">
        <v>5</v>
      </c>
      <c r="G24" s="3">
        <v>223910</v>
      </c>
    </row>
    <row r="25" spans="1:7">
      <c r="A25" s="3" t="s">
        <v>61</v>
      </c>
      <c r="B25" s="3" t="s">
        <v>44</v>
      </c>
      <c r="C25" s="3" t="s">
        <v>24</v>
      </c>
      <c r="D25" s="3" t="s">
        <v>62</v>
      </c>
      <c r="E25" s="3">
        <v>4</v>
      </c>
      <c r="F25" s="3">
        <v>2</v>
      </c>
      <c r="G25" s="3">
        <v>168678</v>
      </c>
    </row>
    <row r="26" spans="1:7">
      <c r="A26" s="3" t="s">
        <v>63</v>
      </c>
      <c r="B26" s="3" t="s">
        <v>44</v>
      </c>
      <c r="C26" s="3" t="s">
        <v>24</v>
      </c>
      <c r="D26" s="3" t="s">
        <v>47</v>
      </c>
      <c r="E26" s="3">
        <v>4</v>
      </c>
      <c r="F26" s="3">
        <v>1</v>
      </c>
      <c r="G26" s="3">
        <v>123697</v>
      </c>
    </row>
    <row r="27" spans="1:7">
      <c r="A27" s="3" t="s">
        <v>64</v>
      </c>
      <c r="B27" s="3" t="s">
        <v>44</v>
      </c>
      <c r="C27" s="3" t="s">
        <v>24</v>
      </c>
      <c r="D27" s="3" t="s">
        <v>65</v>
      </c>
      <c r="E27" s="3">
        <v>3</v>
      </c>
      <c r="F27" s="3">
        <v>2</v>
      </c>
      <c r="G27" s="3">
        <v>143334</v>
      </c>
    </row>
    <row r="28" spans="1:7">
      <c r="A28" s="3" t="s">
        <v>66</v>
      </c>
      <c r="B28" s="3" t="s">
        <v>44</v>
      </c>
      <c r="C28" s="3" t="s">
        <v>24</v>
      </c>
      <c r="D28" s="3" t="s">
        <v>67</v>
      </c>
      <c r="E28" s="3">
        <v>5</v>
      </c>
      <c r="F28" s="3">
        <v>1</v>
      </c>
      <c r="G28" s="3">
        <v>175269</v>
      </c>
    </row>
    <row r="29" spans="1:7">
      <c r="A29" s="3" t="s">
        <v>68</v>
      </c>
      <c r="B29" s="3" t="s">
        <v>44</v>
      </c>
      <c r="C29" s="3" t="s">
        <v>24</v>
      </c>
      <c r="D29" s="3" t="s">
        <v>69</v>
      </c>
      <c r="E29" s="3">
        <v>5</v>
      </c>
      <c r="F29" s="3">
        <v>5</v>
      </c>
      <c r="G29" s="3">
        <v>295920</v>
      </c>
    </row>
    <row r="30" spans="1:7">
      <c r="A30" s="3" t="s">
        <v>70</v>
      </c>
      <c r="B30" s="3" t="s">
        <v>44</v>
      </c>
      <c r="C30" s="3" t="s">
        <v>24</v>
      </c>
      <c r="D30" s="3" t="s">
        <v>69</v>
      </c>
      <c r="E30" s="3">
        <v>2</v>
      </c>
      <c r="F30" s="3">
        <v>2</v>
      </c>
      <c r="G30" s="3">
        <v>97220</v>
      </c>
    </row>
    <row r="31" spans="1:7">
      <c r="A31" s="3" t="s">
        <v>71</v>
      </c>
      <c r="B31" s="3" t="s">
        <v>44</v>
      </c>
      <c r="C31" s="3" t="s">
        <v>24</v>
      </c>
      <c r="D31" s="3" t="s">
        <v>72</v>
      </c>
      <c r="E31" s="3">
        <v>4</v>
      </c>
      <c r="F31" s="3">
        <v>2</v>
      </c>
      <c r="G31" s="3">
        <v>161568</v>
      </c>
    </row>
    <row r="32" spans="1:7">
      <c r="A32" s="3" t="s">
        <v>73</v>
      </c>
      <c r="B32" s="3" t="s">
        <v>44</v>
      </c>
      <c r="C32" s="3" t="s">
        <v>24</v>
      </c>
      <c r="D32" s="3" t="s">
        <v>72</v>
      </c>
      <c r="E32" s="3">
        <v>4</v>
      </c>
      <c r="F32" s="3">
        <v>3</v>
      </c>
      <c r="G32" s="3">
        <v>165578</v>
      </c>
    </row>
    <row r="33" spans="1:7">
      <c r="A33" s="3" t="s">
        <v>74</v>
      </c>
      <c r="B33" s="3" t="s">
        <v>44</v>
      </c>
      <c r="C33" s="3" t="s">
        <v>24</v>
      </c>
      <c r="D33" s="3" t="s">
        <v>72</v>
      </c>
      <c r="E33" s="3">
        <v>4</v>
      </c>
      <c r="F33" s="3">
        <v>1</v>
      </c>
      <c r="G33" s="3">
        <v>139197</v>
      </c>
    </row>
    <row r="34" spans="1:7">
      <c r="A34" s="3" t="s">
        <v>75</v>
      </c>
      <c r="B34" s="3" t="s">
        <v>44</v>
      </c>
      <c r="C34" s="3" t="s">
        <v>24</v>
      </c>
      <c r="D34" s="3" t="s">
        <v>76</v>
      </c>
      <c r="E34" s="3">
        <v>3</v>
      </c>
      <c r="F34" s="3">
        <v>2</v>
      </c>
      <c r="G34" s="3">
        <v>119200</v>
      </c>
    </row>
    <row r="35" spans="1:7">
      <c r="A35" s="3" t="s">
        <v>77</v>
      </c>
      <c r="B35" s="3" t="s">
        <v>44</v>
      </c>
      <c r="C35" s="3" t="s">
        <v>24</v>
      </c>
      <c r="D35" s="3" t="s">
        <v>72</v>
      </c>
      <c r="E35" s="3">
        <v>5</v>
      </c>
      <c r="F35" s="3">
        <v>5</v>
      </c>
      <c r="G35" s="3">
        <v>271935</v>
      </c>
    </row>
    <row r="36" spans="1:7">
      <c r="A36" s="3" t="s">
        <v>78</v>
      </c>
      <c r="B36" s="3" t="s">
        <v>44</v>
      </c>
      <c r="C36" s="3" t="s">
        <v>24</v>
      </c>
      <c r="D36" s="3" t="s">
        <v>79</v>
      </c>
      <c r="E36" s="3">
        <v>2</v>
      </c>
      <c r="F36" s="3">
        <v>2</v>
      </c>
      <c r="G36" s="3">
        <v>95282</v>
      </c>
    </row>
    <row r="37" spans="1:7">
      <c r="A37" s="3" t="s">
        <v>80</v>
      </c>
      <c r="B37" s="3" t="s">
        <v>44</v>
      </c>
      <c r="C37" s="3" t="s">
        <v>24</v>
      </c>
      <c r="D37" s="3" t="s">
        <v>81</v>
      </c>
      <c r="E37" s="3">
        <v>4</v>
      </c>
      <c r="F37" s="3">
        <v>2</v>
      </c>
      <c r="G37" s="3">
        <v>153882</v>
      </c>
    </row>
    <row r="38" spans="1:7">
      <c r="A38" s="3" t="s">
        <v>82</v>
      </c>
      <c r="B38" s="3" t="s">
        <v>44</v>
      </c>
      <c r="C38" s="3" t="s">
        <v>24</v>
      </c>
      <c r="D38" s="3" t="s">
        <v>81</v>
      </c>
      <c r="E38" s="3">
        <v>3</v>
      </c>
      <c r="F38" s="3">
        <v>1</v>
      </c>
      <c r="G38" s="3">
        <v>100649</v>
      </c>
    </row>
    <row r="39" spans="1:7">
      <c r="A39" s="3" t="s">
        <v>83</v>
      </c>
      <c r="B39" s="3" t="s">
        <v>44</v>
      </c>
      <c r="C39" s="3" t="s">
        <v>24</v>
      </c>
      <c r="D39" s="3" t="s">
        <v>72</v>
      </c>
      <c r="E39" s="3">
        <v>2</v>
      </c>
      <c r="F39" s="3">
        <v>2</v>
      </c>
      <c r="G39" s="3">
        <v>113804</v>
      </c>
    </row>
    <row r="40" spans="1:7">
      <c r="A40" s="3" t="s">
        <v>84</v>
      </c>
      <c r="B40" s="3" t="s">
        <v>44</v>
      </c>
      <c r="C40" s="3" t="s">
        <v>24</v>
      </c>
      <c r="D40" s="3" t="s">
        <v>85</v>
      </c>
      <c r="E40" s="3">
        <v>3</v>
      </c>
      <c r="F40" s="3">
        <v>2</v>
      </c>
      <c r="G40" s="3">
        <v>149658</v>
      </c>
    </row>
    <row r="41" spans="1:7">
      <c r="A41" s="3" t="s">
        <v>86</v>
      </c>
      <c r="B41" s="3" t="s">
        <v>44</v>
      </c>
      <c r="C41" s="3" t="s">
        <v>24</v>
      </c>
      <c r="D41" s="3" t="s">
        <v>85</v>
      </c>
      <c r="E41" s="3">
        <v>3</v>
      </c>
      <c r="F41" s="3">
        <v>2</v>
      </c>
      <c r="G41" s="3">
        <v>160626</v>
      </c>
    </row>
    <row r="42" spans="1:7">
      <c r="A42" s="3" t="s">
        <v>87</v>
      </c>
      <c r="B42" s="3" t="s">
        <v>44</v>
      </c>
      <c r="C42" s="3" t="s">
        <v>24</v>
      </c>
      <c r="D42" s="3" t="s">
        <v>79</v>
      </c>
      <c r="E42" s="3">
        <v>5</v>
      </c>
      <c r="F42" s="3">
        <v>3</v>
      </c>
      <c r="G42" s="3">
        <v>243046</v>
      </c>
    </row>
    <row r="43" spans="1:7">
      <c r="A43" s="3" t="s">
        <v>88</v>
      </c>
      <c r="B43" s="3" t="s">
        <v>44</v>
      </c>
      <c r="C43" s="3" t="s">
        <v>24</v>
      </c>
      <c r="D43" s="3" t="s">
        <v>79</v>
      </c>
      <c r="E43" s="3">
        <v>5</v>
      </c>
      <c r="F43" s="3">
        <v>5</v>
      </c>
      <c r="G43" s="3">
        <v>283790</v>
      </c>
    </row>
    <row r="44" spans="1:7">
      <c r="A44" s="3" t="s">
        <v>89</v>
      </c>
      <c r="B44" s="3" t="s">
        <v>44</v>
      </c>
      <c r="C44" s="3" t="s">
        <v>24</v>
      </c>
      <c r="D44" s="3" t="s">
        <v>72</v>
      </c>
      <c r="E44" s="3">
        <v>2</v>
      </c>
      <c r="F44" s="3">
        <v>1</v>
      </c>
      <c r="G44" s="3">
        <v>85161</v>
      </c>
    </row>
    <row r="45" spans="1:7">
      <c r="A45" s="3" t="s">
        <v>90</v>
      </c>
      <c r="B45" s="3" t="s">
        <v>44</v>
      </c>
      <c r="C45" s="3" t="s">
        <v>24</v>
      </c>
      <c r="D45" s="3" t="s">
        <v>72</v>
      </c>
      <c r="E45" s="3">
        <v>2</v>
      </c>
      <c r="F45" s="3">
        <v>1</v>
      </c>
      <c r="G45" s="3">
        <v>97290</v>
      </c>
    </row>
    <row r="46" spans="1:7">
      <c r="A46" s="3" t="s">
        <v>91</v>
      </c>
      <c r="B46" s="3" t="s">
        <v>44</v>
      </c>
      <c r="C46" s="3" t="s">
        <v>24</v>
      </c>
      <c r="D46" s="3" t="s">
        <v>85</v>
      </c>
      <c r="E46" s="3">
        <v>2</v>
      </c>
      <c r="F46" s="3">
        <v>2</v>
      </c>
      <c r="G46" s="3">
        <v>102662</v>
      </c>
    </row>
    <row r="47" spans="1:7">
      <c r="A47" s="3" t="s">
        <v>92</v>
      </c>
      <c r="B47" s="3" t="s">
        <v>44</v>
      </c>
      <c r="C47" s="3" t="s">
        <v>24</v>
      </c>
      <c r="D47" s="3" t="s">
        <v>62</v>
      </c>
      <c r="E47" s="3">
        <v>2</v>
      </c>
      <c r="F47" s="3">
        <v>1</v>
      </c>
      <c r="G47" s="3">
        <v>82299</v>
      </c>
    </row>
    <row r="48" spans="1:7">
      <c r="A48" s="3" t="s">
        <v>93</v>
      </c>
      <c r="B48" s="3" t="s">
        <v>44</v>
      </c>
      <c r="C48" s="3" t="s">
        <v>24</v>
      </c>
      <c r="D48" s="3" t="s">
        <v>81</v>
      </c>
      <c r="E48" s="3">
        <v>3</v>
      </c>
      <c r="F48" s="3">
        <v>3</v>
      </c>
      <c r="G48" s="3">
        <v>145977</v>
      </c>
    </row>
    <row r="49" spans="1:7">
      <c r="A49" s="3" t="s">
        <v>94</v>
      </c>
      <c r="B49" s="3" t="s">
        <v>44</v>
      </c>
      <c r="C49" s="3" t="s">
        <v>24</v>
      </c>
      <c r="D49" s="3" t="s">
        <v>81</v>
      </c>
      <c r="E49" s="3">
        <v>2</v>
      </c>
      <c r="F49" s="3">
        <v>2</v>
      </c>
      <c r="G49" s="3">
        <v>115260</v>
      </c>
    </row>
    <row r="50" spans="1:7">
      <c r="A50" s="3" t="s">
        <v>95</v>
      </c>
      <c r="B50" s="3" t="s">
        <v>44</v>
      </c>
      <c r="C50" s="3" t="s">
        <v>24</v>
      </c>
      <c r="D50" s="3" t="s">
        <v>96</v>
      </c>
      <c r="E50" s="3">
        <v>2</v>
      </c>
      <c r="F50" s="3">
        <v>2</v>
      </c>
      <c r="G50" s="3">
        <v>98014</v>
      </c>
    </row>
    <row r="51" spans="1:7">
      <c r="A51" s="3" t="s">
        <v>97</v>
      </c>
      <c r="B51" s="3" t="s">
        <v>44</v>
      </c>
      <c r="C51" s="3" t="s">
        <v>24</v>
      </c>
      <c r="D51" s="3" t="s">
        <v>65</v>
      </c>
      <c r="E51" s="3">
        <v>2</v>
      </c>
      <c r="F51" s="3">
        <v>2</v>
      </c>
      <c r="G51" s="3">
        <v>117330</v>
      </c>
    </row>
    <row r="52" spans="1:7">
      <c r="A52" s="3" t="s">
        <v>98</v>
      </c>
      <c r="B52" s="3" t="s">
        <v>44</v>
      </c>
      <c r="C52" s="3" t="s">
        <v>24</v>
      </c>
      <c r="D52" s="3" t="s">
        <v>57</v>
      </c>
      <c r="E52" s="3">
        <v>2</v>
      </c>
      <c r="F52" s="3">
        <v>1</v>
      </c>
      <c r="G52" s="3">
        <v>71196</v>
      </c>
    </row>
    <row r="53" spans="1:7">
      <c r="A53" s="3" t="s">
        <v>99</v>
      </c>
      <c r="B53" s="3" t="s">
        <v>44</v>
      </c>
      <c r="C53" s="3" t="s">
        <v>24</v>
      </c>
      <c r="D53" s="3" t="s">
        <v>59</v>
      </c>
      <c r="E53" s="3">
        <v>2</v>
      </c>
      <c r="F53" s="3">
        <v>2</v>
      </c>
      <c r="G53" s="3">
        <v>101808</v>
      </c>
    </row>
    <row r="54" spans="1:7">
      <c r="A54" s="3" t="s">
        <v>100</v>
      </c>
      <c r="B54" s="3" t="s">
        <v>44</v>
      </c>
      <c r="C54" s="3" t="s">
        <v>24</v>
      </c>
      <c r="D54" s="3" t="s">
        <v>72</v>
      </c>
      <c r="E54" s="3">
        <v>2</v>
      </c>
      <c r="F54" s="3">
        <v>1</v>
      </c>
      <c r="G54" s="3">
        <v>95024</v>
      </c>
    </row>
    <row r="55" spans="1:7">
      <c r="A55" s="3" t="s">
        <v>101</v>
      </c>
      <c r="B55" s="3" t="s">
        <v>44</v>
      </c>
      <c r="C55" s="3" t="s">
        <v>24</v>
      </c>
      <c r="D55" s="3" t="s">
        <v>81</v>
      </c>
      <c r="E55" s="3">
        <v>3</v>
      </c>
      <c r="F55" s="3">
        <v>3</v>
      </c>
      <c r="G55" s="3">
        <v>137301</v>
      </c>
    </row>
    <row r="56" spans="1:7">
      <c r="A56" s="3" t="s">
        <v>102</v>
      </c>
      <c r="B56" s="3" t="s">
        <v>44</v>
      </c>
      <c r="C56" s="3" t="s">
        <v>24</v>
      </c>
      <c r="D56" s="3" t="s">
        <v>103</v>
      </c>
      <c r="E56" s="3">
        <v>5</v>
      </c>
      <c r="F56" s="3">
        <v>1</v>
      </c>
      <c r="G56" s="3">
        <v>175346</v>
      </c>
    </row>
    <row r="57" spans="1:7">
      <c r="A57" s="3" t="s">
        <v>104</v>
      </c>
      <c r="B57" s="3" t="s">
        <v>44</v>
      </c>
      <c r="C57" s="3" t="s">
        <v>24</v>
      </c>
      <c r="D57" s="3" t="s">
        <v>79</v>
      </c>
      <c r="E57" s="3">
        <v>4</v>
      </c>
      <c r="F57" s="3">
        <v>4</v>
      </c>
      <c r="G57" s="3">
        <v>196264</v>
      </c>
    </row>
    <row r="58" spans="1:7">
      <c r="A58" s="3" t="s">
        <v>105</v>
      </c>
      <c r="B58" s="3" t="s">
        <v>44</v>
      </c>
      <c r="C58" s="3" t="s">
        <v>24</v>
      </c>
      <c r="D58" s="3" t="s">
        <v>62</v>
      </c>
      <c r="E58" s="3">
        <v>2</v>
      </c>
      <c r="F58" s="3">
        <v>2</v>
      </c>
      <c r="G58" s="3">
        <v>112838</v>
      </c>
    </row>
    <row r="59" spans="1:7">
      <c r="A59" s="3" t="s">
        <v>106</v>
      </c>
      <c r="B59" s="3" t="s">
        <v>44</v>
      </c>
      <c r="C59" s="3" t="s">
        <v>24</v>
      </c>
      <c r="D59" s="3" t="s">
        <v>107</v>
      </c>
      <c r="E59" s="3">
        <v>3</v>
      </c>
      <c r="F59" s="3">
        <v>3</v>
      </c>
      <c r="G59" s="3">
        <v>163977</v>
      </c>
    </row>
    <row r="60" spans="1:7">
      <c r="A60" s="3" t="s">
        <v>108</v>
      </c>
      <c r="B60" s="3" t="s">
        <v>44</v>
      </c>
      <c r="C60" s="3" t="s">
        <v>24</v>
      </c>
      <c r="D60" s="3" t="s">
        <v>59</v>
      </c>
      <c r="E60" s="3">
        <v>2</v>
      </c>
      <c r="F60" s="3">
        <v>1</v>
      </c>
      <c r="G60" s="3">
        <v>89783</v>
      </c>
    </row>
    <row r="61" spans="1:7">
      <c r="A61" s="3" t="s">
        <v>109</v>
      </c>
      <c r="B61" s="3" t="s">
        <v>44</v>
      </c>
      <c r="C61" s="3" t="s">
        <v>24</v>
      </c>
      <c r="D61" s="3" t="s">
        <v>110</v>
      </c>
      <c r="E61" s="3">
        <v>5</v>
      </c>
      <c r="F61" s="3">
        <v>4</v>
      </c>
      <c r="G61" s="3">
        <v>220730</v>
      </c>
    </row>
    <row r="62" spans="1:7">
      <c r="A62" s="3" t="s">
        <v>111</v>
      </c>
      <c r="B62" s="3" t="s">
        <v>44</v>
      </c>
      <c r="C62" s="3" t="s">
        <v>24</v>
      </c>
      <c r="D62" s="3" t="s">
        <v>81</v>
      </c>
      <c r="E62" s="3">
        <v>3</v>
      </c>
      <c r="F62" s="3">
        <v>2</v>
      </c>
      <c r="G62" s="3">
        <v>147008</v>
      </c>
    </row>
    <row r="63" spans="1:7">
      <c r="A63" s="3" t="s">
        <v>112</v>
      </c>
      <c r="B63" s="3" t="s">
        <v>44</v>
      </c>
      <c r="C63" s="3" t="s">
        <v>24</v>
      </c>
      <c r="D63" s="3" t="s">
        <v>103</v>
      </c>
      <c r="E63" s="3">
        <v>5</v>
      </c>
      <c r="F63" s="3">
        <v>2</v>
      </c>
      <c r="G63" s="3">
        <v>219256</v>
      </c>
    </row>
    <row r="64" spans="1:7">
      <c r="A64" s="3" t="s">
        <v>113</v>
      </c>
      <c r="B64" s="3" t="s">
        <v>44</v>
      </c>
      <c r="C64" s="3" t="s">
        <v>24</v>
      </c>
      <c r="D64" s="3" t="s">
        <v>79</v>
      </c>
      <c r="E64" s="3">
        <v>3</v>
      </c>
      <c r="F64" s="3">
        <v>2</v>
      </c>
      <c r="G64" s="3">
        <v>150152</v>
      </c>
    </row>
    <row r="65" spans="1:7">
      <c r="A65" s="3" t="s">
        <v>114</v>
      </c>
      <c r="B65" s="3" t="s">
        <v>44</v>
      </c>
      <c r="C65" s="3" t="s">
        <v>24</v>
      </c>
      <c r="D65" s="3" t="s">
        <v>103</v>
      </c>
      <c r="E65" s="3">
        <v>3</v>
      </c>
      <c r="F65" s="3">
        <v>2</v>
      </c>
      <c r="G65" s="3">
        <v>120761</v>
      </c>
    </row>
    <row r="66" spans="1:7">
      <c r="A66" s="3" t="s">
        <v>115</v>
      </c>
      <c r="B66" s="3" t="s">
        <v>44</v>
      </c>
      <c r="C66" s="3" t="s">
        <v>24</v>
      </c>
      <c r="D66" s="3" t="s">
        <v>116</v>
      </c>
      <c r="E66" s="3">
        <v>4</v>
      </c>
      <c r="F66" s="3">
        <v>1</v>
      </c>
      <c r="G66" s="3">
        <v>138483</v>
      </c>
    </row>
    <row r="67" spans="1:7">
      <c r="A67" s="3" t="s">
        <v>117</v>
      </c>
      <c r="B67" s="3" t="s">
        <v>44</v>
      </c>
      <c r="C67" s="3" t="s">
        <v>24</v>
      </c>
      <c r="D67" s="3" t="s">
        <v>79</v>
      </c>
      <c r="E67" s="3">
        <v>3</v>
      </c>
      <c r="F67" s="3">
        <v>1</v>
      </c>
      <c r="G67" s="3">
        <v>128061</v>
      </c>
    </row>
    <row r="68" spans="1:7">
      <c r="A68" s="3" t="s">
        <v>118</v>
      </c>
      <c r="B68" s="3" t="s">
        <v>44</v>
      </c>
      <c r="C68" s="3" t="s">
        <v>24</v>
      </c>
      <c r="D68" s="3" t="s">
        <v>51</v>
      </c>
      <c r="E68" s="3">
        <v>2</v>
      </c>
      <c r="F68" s="3">
        <v>2</v>
      </c>
      <c r="G68" s="3">
        <v>106700</v>
      </c>
    </row>
    <row r="69" spans="1:7">
      <c r="A69" s="3" t="s">
        <v>119</v>
      </c>
      <c r="B69" s="3" t="s">
        <v>44</v>
      </c>
      <c r="C69" s="3" t="s">
        <v>24</v>
      </c>
      <c r="D69" s="3" t="s">
        <v>51</v>
      </c>
      <c r="E69" s="3">
        <v>5</v>
      </c>
      <c r="F69" s="3">
        <v>2</v>
      </c>
      <c r="G69" s="3">
        <v>182952</v>
      </c>
    </row>
    <row r="70" spans="1:7">
      <c r="A70" s="3" t="s">
        <v>120</v>
      </c>
      <c r="B70" s="3" t="s">
        <v>44</v>
      </c>
      <c r="C70" s="3" t="s">
        <v>24</v>
      </c>
      <c r="D70" s="3" t="s">
        <v>107</v>
      </c>
      <c r="E70" s="3">
        <v>4</v>
      </c>
      <c r="F70" s="3">
        <v>2</v>
      </c>
      <c r="G70" s="3">
        <v>191310</v>
      </c>
    </row>
    <row r="71" spans="1:7">
      <c r="A71" s="3" t="s">
        <v>121</v>
      </c>
      <c r="B71" s="3" t="s">
        <v>44</v>
      </c>
      <c r="C71" s="3" t="s">
        <v>24</v>
      </c>
      <c r="D71" s="3" t="s">
        <v>72</v>
      </c>
      <c r="E71" s="3">
        <v>3</v>
      </c>
      <c r="F71" s="3">
        <v>3</v>
      </c>
      <c r="G71" s="3">
        <v>177408</v>
      </c>
    </row>
    <row r="72" spans="1:7">
      <c r="A72" s="3" t="s">
        <v>122</v>
      </c>
      <c r="B72" s="3" t="s">
        <v>44</v>
      </c>
      <c r="C72" s="3" t="s">
        <v>24</v>
      </c>
      <c r="D72" s="3" t="s">
        <v>62</v>
      </c>
      <c r="E72" s="3">
        <v>3</v>
      </c>
      <c r="F72" s="3">
        <v>3</v>
      </c>
      <c r="G72" s="3">
        <v>171321</v>
      </c>
    </row>
    <row r="73" spans="1:7">
      <c r="A73" s="3" t="s">
        <v>123</v>
      </c>
      <c r="B73" s="3" t="s">
        <v>44</v>
      </c>
      <c r="C73" s="3" t="s">
        <v>24</v>
      </c>
      <c r="D73" s="3" t="s">
        <v>79</v>
      </c>
      <c r="E73" s="3">
        <v>2</v>
      </c>
      <c r="F73" s="3">
        <v>1</v>
      </c>
      <c r="G73" s="3">
        <v>74371</v>
      </c>
    </row>
    <row r="74" spans="1:7">
      <c r="A74" s="3" t="s">
        <v>124</v>
      </c>
      <c r="B74" s="3" t="s">
        <v>44</v>
      </c>
      <c r="C74" s="3" t="s">
        <v>24</v>
      </c>
      <c r="D74" s="3" t="s">
        <v>51</v>
      </c>
      <c r="E74" s="3">
        <v>4</v>
      </c>
      <c r="F74" s="3">
        <v>4</v>
      </c>
      <c r="G74" s="3">
        <v>224268</v>
      </c>
    </row>
    <row r="75" spans="1:7">
      <c r="A75" s="3" t="s">
        <v>125</v>
      </c>
      <c r="B75" s="3" t="s">
        <v>44</v>
      </c>
      <c r="C75" s="3" t="s">
        <v>24</v>
      </c>
      <c r="D75" s="3" t="s">
        <v>51</v>
      </c>
      <c r="E75" s="3">
        <v>5</v>
      </c>
      <c r="F75" s="3">
        <v>2</v>
      </c>
      <c r="G75" s="3">
        <v>196700</v>
      </c>
    </row>
    <row r="76" spans="1:7">
      <c r="A76" s="3" t="s">
        <v>126</v>
      </c>
      <c r="B76" s="3" t="s">
        <v>44</v>
      </c>
      <c r="C76" s="3" t="s">
        <v>24</v>
      </c>
      <c r="D76" s="3" t="s">
        <v>51</v>
      </c>
      <c r="E76" s="3">
        <v>2</v>
      </c>
      <c r="F76" s="3">
        <v>1</v>
      </c>
      <c r="G76" s="3">
        <v>71260</v>
      </c>
    </row>
    <row r="77" spans="1:7">
      <c r="A77" s="3" t="s">
        <v>127</v>
      </c>
      <c r="B77" s="3" t="s">
        <v>44</v>
      </c>
      <c r="C77" s="3" t="s">
        <v>24</v>
      </c>
      <c r="D77" s="3" t="s">
        <v>51</v>
      </c>
      <c r="E77" s="3">
        <v>3</v>
      </c>
      <c r="F77" s="3">
        <v>3</v>
      </c>
      <c r="G77" s="3">
        <v>154212</v>
      </c>
    </row>
    <row r="78" spans="1:7">
      <c r="A78" s="3" t="s">
        <v>128</v>
      </c>
      <c r="B78" s="3" t="s">
        <v>44</v>
      </c>
      <c r="C78" s="3" t="s">
        <v>24</v>
      </c>
      <c r="D78" s="3" t="s">
        <v>51</v>
      </c>
      <c r="E78" s="3">
        <v>4</v>
      </c>
      <c r="F78" s="3">
        <v>3</v>
      </c>
      <c r="G78" s="3">
        <v>193417</v>
      </c>
    </row>
    <row r="79" spans="1:7">
      <c r="A79" s="3" t="s">
        <v>129</v>
      </c>
      <c r="B79" s="3" t="s">
        <v>44</v>
      </c>
      <c r="C79" s="3" t="s">
        <v>24</v>
      </c>
      <c r="D79" s="3" t="s">
        <v>51</v>
      </c>
      <c r="E79" s="3">
        <v>5</v>
      </c>
      <c r="F79" s="3">
        <v>4</v>
      </c>
      <c r="G79" s="3">
        <v>209029</v>
      </c>
    </row>
    <row r="80" spans="1:7">
      <c r="A80" s="3" t="s">
        <v>130</v>
      </c>
      <c r="B80" s="3" t="s">
        <v>44</v>
      </c>
      <c r="C80" s="3" t="s">
        <v>24</v>
      </c>
      <c r="D80" s="3" t="s">
        <v>51</v>
      </c>
      <c r="E80" s="3">
        <v>2</v>
      </c>
      <c r="F80" s="3">
        <v>2</v>
      </c>
      <c r="G80" s="3">
        <v>101854</v>
      </c>
    </row>
    <row r="81" spans="1:7">
      <c r="A81" s="3" t="s">
        <v>131</v>
      </c>
      <c r="B81" s="3" t="s">
        <v>44</v>
      </c>
      <c r="C81" s="3" t="s">
        <v>24</v>
      </c>
      <c r="D81" s="3" t="s">
        <v>79</v>
      </c>
      <c r="E81" s="3">
        <v>5</v>
      </c>
      <c r="F81" s="3">
        <v>1</v>
      </c>
      <c r="G81" s="3">
        <v>220172</v>
      </c>
    </row>
    <row r="82" spans="1:7">
      <c r="A82" s="3" t="s">
        <v>132</v>
      </c>
      <c r="B82" s="3" t="s">
        <v>44</v>
      </c>
      <c r="C82" s="3" t="s">
        <v>24</v>
      </c>
      <c r="D82" s="3" t="s">
        <v>51</v>
      </c>
      <c r="E82" s="3">
        <v>3</v>
      </c>
      <c r="F82" s="3">
        <v>2</v>
      </c>
      <c r="G82" s="3">
        <v>138575</v>
      </c>
    </row>
    <row r="83" spans="1:7">
      <c r="A83" s="3" t="s">
        <v>133</v>
      </c>
      <c r="B83" s="3" t="s">
        <v>44</v>
      </c>
      <c r="C83" s="3" t="s">
        <v>24</v>
      </c>
      <c r="D83" s="3" t="s">
        <v>62</v>
      </c>
      <c r="E83" s="3">
        <v>3</v>
      </c>
      <c r="F83" s="3">
        <v>1</v>
      </c>
      <c r="G83" s="3">
        <v>99956</v>
      </c>
    </row>
    <row r="84" spans="1:7">
      <c r="A84" s="3" t="s">
        <v>134</v>
      </c>
      <c r="B84" s="3" t="s">
        <v>44</v>
      </c>
      <c r="C84" s="3" t="s">
        <v>24</v>
      </c>
      <c r="D84" s="3" t="s">
        <v>72</v>
      </c>
      <c r="E84" s="3">
        <v>4</v>
      </c>
      <c r="F84" s="3">
        <v>3</v>
      </c>
      <c r="G84" s="3">
        <v>176561</v>
      </c>
    </row>
    <row r="85" spans="1:7">
      <c r="A85" s="3" t="s">
        <v>135</v>
      </c>
      <c r="B85" s="3" t="s">
        <v>44</v>
      </c>
      <c r="C85" s="3" t="s">
        <v>24</v>
      </c>
      <c r="D85" s="3">
        <v>28278</v>
      </c>
      <c r="E85" s="3">
        <v>2</v>
      </c>
      <c r="F85" s="3">
        <v>2</v>
      </c>
      <c r="G85" s="3">
        <v>106996</v>
      </c>
    </row>
    <row r="86" spans="1:7">
      <c r="A86" s="3" t="s">
        <v>136</v>
      </c>
      <c r="B86" s="3" t="s">
        <v>44</v>
      </c>
      <c r="C86" s="3" t="s">
        <v>24</v>
      </c>
      <c r="D86" s="3" t="s">
        <v>72</v>
      </c>
      <c r="E86" s="3">
        <v>4</v>
      </c>
      <c r="F86" s="3">
        <v>4</v>
      </c>
      <c r="G86" s="3">
        <v>236164</v>
      </c>
    </row>
    <row r="87" spans="1:7">
      <c r="A87" s="3" t="s">
        <v>137</v>
      </c>
      <c r="B87" s="3" t="s">
        <v>44</v>
      </c>
      <c r="C87" s="3" t="s">
        <v>24</v>
      </c>
      <c r="D87" s="3" t="s">
        <v>110</v>
      </c>
      <c r="E87" s="3">
        <v>2</v>
      </c>
      <c r="F87" s="3">
        <v>1</v>
      </c>
      <c r="G87" s="3">
        <v>71053</v>
      </c>
    </row>
    <row r="88" spans="1:7">
      <c r="A88" s="3" t="s">
        <v>138</v>
      </c>
      <c r="B88" s="3" t="s">
        <v>44</v>
      </c>
      <c r="C88" s="3" t="s">
        <v>24</v>
      </c>
      <c r="D88" s="3" t="s">
        <v>107</v>
      </c>
      <c r="E88" s="3">
        <v>5</v>
      </c>
      <c r="F88" s="3">
        <v>1</v>
      </c>
      <c r="G88" s="3">
        <v>181797</v>
      </c>
    </row>
    <row r="89" spans="1:7">
      <c r="A89" s="3" t="s">
        <v>139</v>
      </c>
      <c r="B89" s="3" t="s">
        <v>44</v>
      </c>
      <c r="C89" s="3" t="s">
        <v>24</v>
      </c>
      <c r="D89" s="3" t="s">
        <v>51</v>
      </c>
      <c r="E89" s="3">
        <v>4</v>
      </c>
      <c r="F89" s="3">
        <v>3</v>
      </c>
      <c r="G89" s="3">
        <v>190583</v>
      </c>
    </row>
    <row r="90" spans="1:7">
      <c r="A90" s="3" t="s">
        <v>140</v>
      </c>
      <c r="B90" s="3" t="s">
        <v>44</v>
      </c>
      <c r="C90" s="3" t="s">
        <v>24</v>
      </c>
      <c r="D90" s="3" t="s">
        <v>67</v>
      </c>
      <c r="E90" s="3">
        <v>3</v>
      </c>
      <c r="F90" s="3">
        <v>3</v>
      </c>
      <c r="G90" s="3">
        <v>163854</v>
      </c>
    </row>
    <row r="91" spans="1:7">
      <c r="A91" s="3" t="s">
        <v>141</v>
      </c>
      <c r="B91" s="3" t="s">
        <v>44</v>
      </c>
      <c r="C91" s="3" t="s">
        <v>24</v>
      </c>
      <c r="D91" s="3" t="s">
        <v>110</v>
      </c>
      <c r="E91" s="3">
        <v>5</v>
      </c>
      <c r="F91" s="3">
        <v>5</v>
      </c>
      <c r="G91" s="3">
        <v>291695</v>
      </c>
    </row>
    <row r="92" spans="1:7">
      <c r="A92" s="3" t="s">
        <v>142</v>
      </c>
      <c r="B92" s="3" t="s">
        <v>44</v>
      </c>
      <c r="C92" s="3" t="s">
        <v>24</v>
      </c>
      <c r="D92" s="3" t="s">
        <v>79</v>
      </c>
      <c r="E92" s="3">
        <v>2</v>
      </c>
      <c r="F92" s="3">
        <v>1</v>
      </c>
      <c r="G92" s="3">
        <v>75047</v>
      </c>
    </row>
    <row r="93" spans="1:7">
      <c r="A93" s="3" t="s">
        <v>143</v>
      </c>
      <c r="B93" s="3" t="s">
        <v>44</v>
      </c>
      <c r="C93" s="3" t="s">
        <v>24</v>
      </c>
      <c r="D93" s="3" t="s">
        <v>79</v>
      </c>
      <c r="E93" s="3">
        <v>5</v>
      </c>
      <c r="F93" s="3">
        <v>5</v>
      </c>
      <c r="G93" s="3">
        <v>287900</v>
      </c>
    </row>
    <row r="94" spans="1:7">
      <c r="A94" s="3" t="s">
        <v>144</v>
      </c>
      <c r="B94" s="3" t="s">
        <v>44</v>
      </c>
      <c r="C94" s="3" t="s">
        <v>24</v>
      </c>
      <c r="D94" s="3" t="s">
        <v>81</v>
      </c>
      <c r="E94" s="3">
        <v>4</v>
      </c>
      <c r="F94" s="3">
        <v>1</v>
      </c>
      <c r="G94" s="3">
        <v>156001</v>
      </c>
    </row>
    <row r="95" spans="1:7">
      <c r="A95" s="3" t="s">
        <v>145</v>
      </c>
      <c r="B95" s="3" t="s">
        <v>44</v>
      </c>
      <c r="C95" s="3" t="s">
        <v>24</v>
      </c>
      <c r="D95" s="3" t="s">
        <v>79</v>
      </c>
      <c r="E95" s="3">
        <v>3</v>
      </c>
      <c r="F95" s="3">
        <v>1</v>
      </c>
      <c r="G95" s="3">
        <v>134030</v>
      </c>
    </row>
    <row r="96" spans="1:7">
      <c r="A96" s="3" t="s">
        <v>146</v>
      </c>
      <c r="B96" s="3" t="s">
        <v>44</v>
      </c>
      <c r="C96" s="3" t="s">
        <v>24</v>
      </c>
      <c r="D96" s="3" t="s">
        <v>81</v>
      </c>
      <c r="E96" s="3">
        <v>3</v>
      </c>
      <c r="F96" s="3">
        <v>2</v>
      </c>
      <c r="G96" s="3">
        <v>122970</v>
      </c>
    </row>
    <row r="97" spans="1:7">
      <c r="A97" s="3" t="s">
        <v>147</v>
      </c>
      <c r="B97" s="3" t="s">
        <v>44</v>
      </c>
      <c r="C97" s="3" t="s">
        <v>24</v>
      </c>
      <c r="D97" s="3" t="s">
        <v>81</v>
      </c>
      <c r="E97" s="3">
        <v>3</v>
      </c>
      <c r="F97" s="3">
        <v>2</v>
      </c>
      <c r="G97" s="3">
        <v>147085</v>
      </c>
    </row>
    <row r="98" spans="1:7">
      <c r="A98" s="3" t="s">
        <v>148</v>
      </c>
      <c r="B98" s="3" t="s">
        <v>44</v>
      </c>
      <c r="C98" s="3" t="s">
        <v>24</v>
      </c>
      <c r="D98" s="3" t="s">
        <v>81</v>
      </c>
      <c r="E98" s="3">
        <v>4</v>
      </c>
      <c r="F98" s="3">
        <v>4</v>
      </c>
      <c r="G98" s="3">
        <v>190448</v>
      </c>
    </row>
    <row r="99" spans="1:7">
      <c r="A99" s="3" t="s">
        <v>149</v>
      </c>
      <c r="B99" s="3" t="s">
        <v>44</v>
      </c>
      <c r="C99" s="3" t="s">
        <v>24</v>
      </c>
      <c r="D99" s="3" t="s">
        <v>81</v>
      </c>
      <c r="E99" s="3">
        <v>5</v>
      </c>
      <c r="F99" s="3">
        <v>4</v>
      </c>
      <c r="G99" s="3">
        <v>259618</v>
      </c>
    </row>
    <row r="100" spans="1:7">
      <c r="A100" s="3" t="s">
        <v>150</v>
      </c>
      <c r="B100" s="3" t="s">
        <v>44</v>
      </c>
      <c r="C100" s="3" t="s">
        <v>24</v>
      </c>
      <c r="D100" s="3" t="s">
        <v>59</v>
      </c>
      <c r="E100" s="3">
        <v>2</v>
      </c>
      <c r="F100" s="3">
        <v>2</v>
      </c>
      <c r="G100" s="3">
        <v>104138</v>
      </c>
    </row>
    <row r="101" spans="1:7">
      <c r="A101" s="3" t="s">
        <v>151</v>
      </c>
      <c r="B101" s="3" t="s">
        <v>44</v>
      </c>
      <c r="C101" s="3" t="s">
        <v>24</v>
      </c>
      <c r="D101" s="3" t="s">
        <v>81</v>
      </c>
      <c r="E101" s="3">
        <v>3</v>
      </c>
      <c r="F101" s="3">
        <v>3</v>
      </c>
      <c r="G101" s="3">
        <v>170880</v>
      </c>
    </row>
    <row r="102" spans="1:7">
      <c r="A102" s="3" t="s">
        <v>152</v>
      </c>
      <c r="B102" s="3" t="s">
        <v>44</v>
      </c>
      <c r="C102" s="3" t="s">
        <v>24</v>
      </c>
      <c r="D102" s="3" t="s">
        <v>81</v>
      </c>
      <c r="E102" s="3">
        <v>4</v>
      </c>
      <c r="F102" s="3">
        <v>4</v>
      </c>
      <c r="G102" s="3">
        <v>227452</v>
      </c>
    </row>
    <row r="103" spans="1:7">
      <c r="A103" s="3" t="s">
        <v>153</v>
      </c>
      <c r="B103" s="3" t="s">
        <v>44</v>
      </c>
      <c r="C103" s="3" t="s">
        <v>24</v>
      </c>
      <c r="D103" s="3" t="s">
        <v>81</v>
      </c>
      <c r="E103" s="3">
        <v>4</v>
      </c>
      <c r="F103" s="3">
        <v>2</v>
      </c>
      <c r="G103" s="3">
        <v>159152</v>
      </c>
    </row>
    <row r="104" spans="1:7">
      <c r="A104" s="3" t="s">
        <v>154</v>
      </c>
      <c r="B104" s="3" t="s">
        <v>44</v>
      </c>
      <c r="C104" s="3" t="s">
        <v>24</v>
      </c>
      <c r="D104" s="3" t="s">
        <v>79</v>
      </c>
      <c r="E104" s="3">
        <v>3</v>
      </c>
      <c r="F104" s="3">
        <v>1</v>
      </c>
      <c r="G104" s="3">
        <v>100333</v>
      </c>
    </row>
    <row r="105" spans="1:7">
      <c r="A105" s="3" t="s">
        <v>155</v>
      </c>
      <c r="B105" s="3" t="s">
        <v>44</v>
      </c>
      <c r="C105" s="3" t="s">
        <v>24</v>
      </c>
      <c r="D105" s="3" t="s">
        <v>156</v>
      </c>
      <c r="E105" s="3">
        <v>4</v>
      </c>
      <c r="F105" s="3">
        <v>1</v>
      </c>
      <c r="G105" s="3">
        <v>137762</v>
      </c>
    </row>
    <row r="106" spans="1:7">
      <c r="A106" s="3" t="s">
        <v>157</v>
      </c>
      <c r="B106" s="3" t="s">
        <v>44</v>
      </c>
      <c r="C106" s="3" t="s">
        <v>24</v>
      </c>
      <c r="D106" s="3" t="s">
        <v>79</v>
      </c>
      <c r="E106" s="3">
        <v>3</v>
      </c>
      <c r="F106" s="3">
        <v>2</v>
      </c>
      <c r="G106" s="3">
        <v>112242</v>
      </c>
    </row>
    <row r="107" spans="1:7">
      <c r="A107" s="3" t="s">
        <v>158</v>
      </c>
      <c r="B107" s="3" t="s">
        <v>44</v>
      </c>
      <c r="C107" s="3" t="s">
        <v>24</v>
      </c>
      <c r="D107" s="3" t="s">
        <v>79</v>
      </c>
      <c r="E107" s="3">
        <v>4</v>
      </c>
      <c r="F107" s="3">
        <v>2</v>
      </c>
      <c r="G107" s="3">
        <v>169186</v>
      </c>
    </row>
    <row r="108" spans="1:7">
      <c r="A108" s="3" t="s">
        <v>159</v>
      </c>
      <c r="B108" s="3" t="s">
        <v>44</v>
      </c>
      <c r="C108" s="3" t="s">
        <v>24</v>
      </c>
      <c r="D108" s="3" t="s">
        <v>107</v>
      </c>
      <c r="E108" s="3">
        <v>3</v>
      </c>
      <c r="F108" s="3">
        <v>3</v>
      </c>
      <c r="G108" s="3">
        <v>167913</v>
      </c>
    </row>
    <row r="109" spans="1:7">
      <c r="A109" s="3" t="s">
        <v>160</v>
      </c>
      <c r="B109" s="3" t="s">
        <v>44</v>
      </c>
      <c r="C109" s="3" t="s">
        <v>24</v>
      </c>
      <c r="D109" s="3" t="s">
        <v>79</v>
      </c>
      <c r="E109" s="3">
        <v>2</v>
      </c>
      <c r="F109" s="3">
        <v>1</v>
      </c>
      <c r="G109" s="3">
        <v>81053</v>
      </c>
    </row>
    <row r="110" spans="1:7">
      <c r="A110" s="3" t="s">
        <v>161</v>
      </c>
      <c r="B110" s="3" t="s">
        <v>44</v>
      </c>
      <c r="C110" s="3" t="s">
        <v>24</v>
      </c>
      <c r="D110" s="3" t="s">
        <v>103</v>
      </c>
      <c r="E110" s="3">
        <v>2</v>
      </c>
      <c r="F110" s="3">
        <v>2</v>
      </c>
      <c r="G110" s="3">
        <v>109624</v>
      </c>
    </row>
    <row r="111" spans="1:7">
      <c r="A111" s="3" t="s">
        <v>162</v>
      </c>
      <c r="B111" s="3" t="s">
        <v>44</v>
      </c>
      <c r="C111" s="3" t="s">
        <v>24</v>
      </c>
      <c r="D111" s="3" t="s">
        <v>62</v>
      </c>
      <c r="E111" s="3">
        <v>5</v>
      </c>
      <c r="F111" s="3">
        <v>5</v>
      </c>
      <c r="G111" s="3">
        <v>287170</v>
      </c>
    </row>
    <row r="112" spans="1:7">
      <c r="A112" s="3" t="s">
        <v>163</v>
      </c>
      <c r="B112" s="3" t="s">
        <v>44</v>
      </c>
      <c r="C112" s="3" t="s">
        <v>24</v>
      </c>
      <c r="D112" s="3" t="s">
        <v>57</v>
      </c>
      <c r="E112" s="3">
        <v>5</v>
      </c>
      <c r="F112" s="3">
        <v>3</v>
      </c>
      <c r="G112" s="3">
        <v>212062</v>
      </c>
    </row>
    <row r="113" spans="1:7">
      <c r="A113" s="3" t="s">
        <v>164</v>
      </c>
      <c r="B113" s="3" t="s">
        <v>44</v>
      </c>
      <c r="C113" s="3" t="s">
        <v>24</v>
      </c>
      <c r="D113" s="3" t="s">
        <v>165</v>
      </c>
      <c r="E113" s="3">
        <v>2</v>
      </c>
      <c r="F113" s="3">
        <v>2</v>
      </c>
      <c r="G113" s="3">
        <v>112252</v>
      </c>
    </row>
    <row r="114" spans="1:7">
      <c r="A114" s="3" t="s">
        <v>166</v>
      </c>
      <c r="B114" s="3" t="s">
        <v>44</v>
      </c>
      <c r="C114" s="3" t="s">
        <v>24</v>
      </c>
      <c r="D114" s="3" t="s">
        <v>62</v>
      </c>
      <c r="E114" s="3">
        <v>3</v>
      </c>
      <c r="F114" s="3">
        <v>2</v>
      </c>
      <c r="G114" s="3">
        <v>136203</v>
      </c>
    </row>
    <row r="115" spans="1:7">
      <c r="A115" s="3" t="s">
        <v>166</v>
      </c>
      <c r="B115" s="3" t="s">
        <v>44</v>
      </c>
      <c r="C115" s="3" t="s">
        <v>24</v>
      </c>
      <c r="D115" s="3" t="s">
        <v>62</v>
      </c>
      <c r="E115" s="3">
        <v>3</v>
      </c>
      <c r="F115" s="3">
        <v>3</v>
      </c>
      <c r="G115" s="3">
        <v>171420</v>
      </c>
    </row>
    <row r="116" spans="1:7">
      <c r="A116" s="3" t="s">
        <v>167</v>
      </c>
      <c r="B116" s="3" t="s">
        <v>44</v>
      </c>
      <c r="C116" s="3" t="s">
        <v>24</v>
      </c>
      <c r="D116" s="3" t="s">
        <v>107</v>
      </c>
      <c r="E116" s="3">
        <v>2</v>
      </c>
      <c r="F116" s="3">
        <v>2</v>
      </c>
      <c r="G116" s="3">
        <v>114564</v>
      </c>
    </row>
    <row r="117" spans="1:7">
      <c r="A117" s="3" t="s">
        <v>168</v>
      </c>
      <c r="B117" s="3" t="s">
        <v>44</v>
      </c>
      <c r="C117" s="3" t="s">
        <v>24</v>
      </c>
      <c r="D117" s="3" t="s">
        <v>81</v>
      </c>
      <c r="E117" s="3">
        <v>3</v>
      </c>
      <c r="F117" s="3">
        <v>2</v>
      </c>
      <c r="G117" s="3">
        <v>154200</v>
      </c>
    </row>
    <row r="118" spans="1:7">
      <c r="A118" s="3" t="s">
        <v>169</v>
      </c>
      <c r="B118" s="3" t="s">
        <v>44</v>
      </c>
      <c r="C118" s="3" t="s">
        <v>24</v>
      </c>
      <c r="D118" s="3" t="s">
        <v>79</v>
      </c>
      <c r="E118" s="3">
        <v>2</v>
      </c>
      <c r="F118" s="3">
        <v>1</v>
      </c>
      <c r="G118" s="3">
        <v>86566</v>
      </c>
    </row>
    <row r="119" spans="1:7">
      <c r="A119" s="3" t="s">
        <v>170</v>
      </c>
      <c r="B119" s="3" t="s">
        <v>44</v>
      </c>
      <c r="C119" s="3" t="s">
        <v>24</v>
      </c>
      <c r="D119" s="3" t="s">
        <v>171</v>
      </c>
      <c r="E119" s="3">
        <v>5</v>
      </c>
      <c r="F119" s="3">
        <v>1</v>
      </c>
      <c r="G119" s="3">
        <v>151155</v>
      </c>
    </row>
    <row r="120" spans="1:7">
      <c r="A120" s="3" t="s">
        <v>172</v>
      </c>
      <c r="B120" s="3" t="s">
        <v>44</v>
      </c>
      <c r="C120" s="3" t="s">
        <v>24</v>
      </c>
      <c r="D120" s="3" t="s">
        <v>107</v>
      </c>
      <c r="E120" s="3">
        <v>5</v>
      </c>
      <c r="F120" s="3">
        <v>5</v>
      </c>
      <c r="G120" s="3">
        <v>260955</v>
      </c>
    </row>
    <row r="121" spans="1:7">
      <c r="A121" s="3" t="s">
        <v>173</v>
      </c>
      <c r="B121" s="3" t="s">
        <v>44</v>
      </c>
      <c r="C121" s="3" t="s">
        <v>24</v>
      </c>
      <c r="D121" s="3" t="s">
        <v>174</v>
      </c>
      <c r="E121" s="3">
        <v>4</v>
      </c>
      <c r="F121" s="3">
        <v>1</v>
      </c>
      <c r="G121" s="3">
        <v>152158</v>
      </c>
    </row>
    <row r="122" spans="1:7">
      <c r="A122" s="3" t="s">
        <v>175</v>
      </c>
      <c r="B122" s="3" t="s">
        <v>44</v>
      </c>
      <c r="C122" s="3" t="s">
        <v>24</v>
      </c>
      <c r="D122" s="3" t="s">
        <v>62</v>
      </c>
      <c r="E122" s="3">
        <v>4</v>
      </c>
      <c r="F122" s="3">
        <v>3</v>
      </c>
      <c r="G122" s="3">
        <v>178118</v>
      </c>
    </row>
    <row r="123" spans="1:7">
      <c r="A123" s="3" t="s">
        <v>176</v>
      </c>
      <c r="B123" s="3" t="s">
        <v>44</v>
      </c>
      <c r="C123" s="3" t="s">
        <v>24</v>
      </c>
      <c r="D123" s="3" t="s">
        <v>67</v>
      </c>
      <c r="E123" s="3">
        <v>5</v>
      </c>
      <c r="F123" s="3">
        <v>3</v>
      </c>
      <c r="G123" s="3">
        <v>234045</v>
      </c>
    </row>
    <row r="124" spans="1:7">
      <c r="A124" s="3" t="s">
        <v>177</v>
      </c>
      <c r="B124" s="3" t="s">
        <v>44</v>
      </c>
      <c r="C124" s="3" t="s">
        <v>24</v>
      </c>
      <c r="D124" s="3" t="s">
        <v>57</v>
      </c>
      <c r="E124" s="3">
        <v>4</v>
      </c>
      <c r="F124" s="3">
        <v>1</v>
      </c>
      <c r="G124" s="3">
        <v>162199</v>
      </c>
    </row>
    <row r="125" spans="1:7">
      <c r="A125" s="3" t="s">
        <v>178</v>
      </c>
      <c r="B125" s="3" t="s">
        <v>44</v>
      </c>
      <c r="C125" s="3" t="s">
        <v>24</v>
      </c>
      <c r="D125" s="3" t="s">
        <v>79</v>
      </c>
      <c r="E125" s="3">
        <v>2</v>
      </c>
      <c r="F125" s="3">
        <v>1</v>
      </c>
      <c r="G125" s="3">
        <v>90568</v>
      </c>
    </row>
    <row r="126" spans="1:7">
      <c r="A126" s="3" t="s">
        <v>179</v>
      </c>
      <c r="B126" s="3" t="s">
        <v>44</v>
      </c>
      <c r="C126" s="3" t="s">
        <v>24</v>
      </c>
      <c r="D126" s="3" t="s">
        <v>180</v>
      </c>
      <c r="E126" s="3">
        <v>2</v>
      </c>
      <c r="F126" s="3">
        <v>2</v>
      </c>
      <c r="G126" s="3">
        <v>99986</v>
      </c>
    </row>
    <row r="127" spans="1:7">
      <c r="A127" s="3" t="s">
        <v>181</v>
      </c>
      <c r="B127" s="3" t="s">
        <v>44</v>
      </c>
      <c r="C127" s="3" t="s">
        <v>24</v>
      </c>
      <c r="D127" s="3" t="s">
        <v>65</v>
      </c>
      <c r="E127" s="3">
        <v>4</v>
      </c>
      <c r="F127" s="3">
        <v>2</v>
      </c>
      <c r="G127" s="3">
        <v>170056</v>
      </c>
    </row>
    <row r="128" spans="1:7">
      <c r="A128" s="3" t="s">
        <v>182</v>
      </c>
      <c r="B128" s="3" t="s">
        <v>44</v>
      </c>
      <c r="C128" s="3" t="s">
        <v>24</v>
      </c>
      <c r="D128" s="3" t="s">
        <v>156</v>
      </c>
      <c r="E128" s="3">
        <v>3</v>
      </c>
      <c r="F128" s="3">
        <v>3</v>
      </c>
      <c r="G128" s="3">
        <v>149271</v>
      </c>
    </row>
    <row r="129" spans="1:7">
      <c r="A129" s="3" t="s">
        <v>183</v>
      </c>
      <c r="B129" s="3" t="s">
        <v>44</v>
      </c>
      <c r="C129" s="3" t="s">
        <v>24</v>
      </c>
      <c r="D129" s="3" t="s">
        <v>96</v>
      </c>
      <c r="E129" s="3">
        <v>3</v>
      </c>
      <c r="F129" s="3">
        <v>2</v>
      </c>
      <c r="G129" s="3">
        <v>130557</v>
      </c>
    </row>
    <row r="130" spans="1:7">
      <c r="A130" s="3" t="s">
        <v>184</v>
      </c>
      <c r="B130" s="3" t="s">
        <v>44</v>
      </c>
      <c r="C130" s="3" t="s">
        <v>24</v>
      </c>
      <c r="D130" s="3" t="s">
        <v>67</v>
      </c>
      <c r="E130" s="3">
        <v>2</v>
      </c>
      <c r="F130" s="3">
        <v>1</v>
      </c>
      <c r="G130" s="3">
        <v>89787</v>
      </c>
    </row>
    <row r="131" spans="1:7">
      <c r="A131" s="3" t="s">
        <v>185</v>
      </c>
      <c r="B131" s="3" t="s">
        <v>44</v>
      </c>
      <c r="C131" s="3" t="s">
        <v>24</v>
      </c>
      <c r="D131" s="3" t="s">
        <v>72</v>
      </c>
      <c r="E131" s="3">
        <v>3</v>
      </c>
      <c r="F131" s="3">
        <v>3</v>
      </c>
      <c r="G131" s="3">
        <v>140976</v>
      </c>
    </row>
    <row r="132" spans="1:7">
      <c r="A132" s="3" t="s">
        <v>186</v>
      </c>
      <c r="B132" s="3" t="s">
        <v>44</v>
      </c>
      <c r="C132" s="3" t="s">
        <v>24</v>
      </c>
      <c r="D132" s="3" t="s">
        <v>67</v>
      </c>
      <c r="E132" s="3">
        <v>2</v>
      </c>
      <c r="F132" s="3">
        <v>1</v>
      </c>
      <c r="G132" s="3">
        <v>91619</v>
      </c>
    </row>
    <row r="133" spans="1:7">
      <c r="A133" s="3" t="s">
        <v>187</v>
      </c>
      <c r="B133" s="3" t="s">
        <v>44</v>
      </c>
      <c r="C133" s="3" t="s">
        <v>24</v>
      </c>
      <c r="D133" s="3" t="s">
        <v>67</v>
      </c>
      <c r="E133" s="3">
        <v>4</v>
      </c>
      <c r="F133" s="3">
        <v>3</v>
      </c>
      <c r="G133" s="3">
        <v>209129</v>
      </c>
    </row>
    <row r="134" spans="1:7">
      <c r="A134" s="3" t="s">
        <v>188</v>
      </c>
      <c r="B134" s="3" t="s">
        <v>44</v>
      </c>
      <c r="C134" s="3" t="s">
        <v>24</v>
      </c>
      <c r="D134" s="3" t="s">
        <v>51</v>
      </c>
      <c r="E134" s="3">
        <v>2</v>
      </c>
      <c r="F134" s="3">
        <v>1</v>
      </c>
      <c r="G134" s="3">
        <v>79912</v>
      </c>
    </row>
    <row r="135" spans="1:7">
      <c r="A135" s="3" t="s">
        <v>189</v>
      </c>
      <c r="B135" s="3" t="s">
        <v>44</v>
      </c>
      <c r="C135" s="3" t="s">
        <v>24</v>
      </c>
      <c r="D135" s="3" t="s">
        <v>51</v>
      </c>
      <c r="E135" s="3">
        <v>4</v>
      </c>
      <c r="F135" s="3">
        <v>4</v>
      </c>
      <c r="G135" s="3">
        <v>206708</v>
      </c>
    </row>
    <row r="136" spans="1:7">
      <c r="A136" s="3" t="s">
        <v>190</v>
      </c>
      <c r="B136" s="3" t="s">
        <v>44</v>
      </c>
      <c r="C136" s="3" t="s">
        <v>24</v>
      </c>
      <c r="D136" s="3" t="s">
        <v>51</v>
      </c>
      <c r="E136" s="3">
        <v>5</v>
      </c>
      <c r="F136" s="3">
        <v>1</v>
      </c>
      <c r="G136" s="3">
        <v>181535</v>
      </c>
    </row>
    <row r="137" spans="1:7">
      <c r="A137" s="3" t="s">
        <v>191</v>
      </c>
      <c r="B137" s="3" t="s">
        <v>44</v>
      </c>
      <c r="C137" s="3" t="s">
        <v>24</v>
      </c>
      <c r="D137" s="3" t="s">
        <v>156</v>
      </c>
      <c r="E137" s="3">
        <v>4</v>
      </c>
      <c r="F137" s="3">
        <v>2</v>
      </c>
      <c r="G137" s="3">
        <v>166618</v>
      </c>
    </row>
    <row r="138" spans="1:7">
      <c r="A138" s="3" t="s">
        <v>192</v>
      </c>
      <c r="B138" s="3" t="s">
        <v>44</v>
      </c>
      <c r="C138" s="3" t="s">
        <v>24</v>
      </c>
      <c r="D138" s="3" t="s">
        <v>110</v>
      </c>
      <c r="E138" s="3">
        <v>2</v>
      </c>
      <c r="F138" s="3">
        <v>1</v>
      </c>
      <c r="G138" s="3">
        <v>81684</v>
      </c>
    </row>
    <row r="139" spans="1:7">
      <c r="A139" s="3" t="s">
        <v>193</v>
      </c>
      <c r="B139" s="3" t="s">
        <v>44</v>
      </c>
      <c r="C139" s="3" t="s">
        <v>24</v>
      </c>
      <c r="D139" s="3" t="s">
        <v>156</v>
      </c>
      <c r="E139" s="3">
        <v>4</v>
      </c>
      <c r="F139" s="3">
        <v>3</v>
      </c>
      <c r="G139" s="3">
        <v>190415</v>
      </c>
    </row>
    <row r="140" spans="1:7">
      <c r="A140" s="3" t="s">
        <v>194</v>
      </c>
      <c r="B140" s="3" t="s">
        <v>44</v>
      </c>
      <c r="C140" s="3" t="s">
        <v>24</v>
      </c>
      <c r="D140" s="3" t="s">
        <v>67</v>
      </c>
      <c r="E140" s="3">
        <v>3</v>
      </c>
      <c r="F140" s="3">
        <v>2</v>
      </c>
      <c r="G140" s="3">
        <v>122300</v>
      </c>
    </row>
    <row r="141" spans="1:7">
      <c r="A141" s="3" t="s">
        <v>195</v>
      </c>
      <c r="B141" s="3" t="s">
        <v>44</v>
      </c>
      <c r="C141" s="3" t="s">
        <v>24</v>
      </c>
      <c r="D141" s="3" t="s">
        <v>196</v>
      </c>
      <c r="E141" s="3">
        <v>3</v>
      </c>
      <c r="F141" s="3">
        <v>1</v>
      </c>
      <c r="G141" s="3">
        <v>125600</v>
      </c>
    </row>
    <row r="142" spans="1:7">
      <c r="A142" s="3" t="s">
        <v>197</v>
      </c>
      <c r="B142" s="3" t="s">
        <v>44</v>
      </c>
      <c r="C142" s="3" t="s">
        <v>24</v>
      </c>
      <c r="D142" s="3" t="s">
        <v>196</v>
      </c>
      <c r="E142" s="3">
        <v>2</v>
      </c>
      <c r="F142" s="3">
        <v>1</v>
      </c>
      <c r="G142" s="3">
        <v>86119</v>
      </c>
    </row>
    <row r="143" spans="1:7">
      <c r="A143" s="3" t="s">
        <v>198</v>
      </c>
      <c r="B143" s="3" t="s">
        <v>44</v>
      </c>
      <c r="C143" s="3" t="s">
        <v>24</v>
      </c>
      <c r="D143" s="3" t="s">
        <v>196</v>
      </c>
      <c r="E143" s="3">
        <v>2</v>
      </c>
      <c r="F143" s="3">
        <v>1</v>
      </c>
      <c r="G143" s="3">
        <v>85381</v>
      </c>
    </row>
    <row r="144" spans="1:7">
      <c r="A144" s="3" t="s">
        <v>199</v>
      </c>
      <c r="B144" s="3" t="s">
        <v>44</v>
      </c>
      <c r="C144" s="3" t="s">
        <v>24</v>
      </c>
      <c r="D144" s="3" t="s">
        <v>196</v>
      </c>
      <c r="E144" s="3">
        <v>2</v>
      </c>
      <c r="F144" s="3">
        <v>2</v>
      </c>
      <c r="G144" s="3">
        <v>119236</v>
      </c>
    </row>
    <row r="145" spans="1:7">
      <c r="A145" s="3" t="s">
        <v>200</v>
      </c>
      <c r="B145" s="3" t="s">
        <v>44</v>
      </c>
      <c r="C145" s="3" t="s">
        <v>24</v>
      </c>
      <c r="D145" s="3" t="s">
        <v>196</v>
      </c>
      <c r="E145" s="3">
        <v>3</v>
      </c>
      <c r="F145" s="3">
        <v>3</v>
      </c>
      <c r="G145" s="3">
        <v>163140</v>
      </c>
    </row>
    <row r="146" spans="1:7">
      <c r="A146" s="3" t="s">
        <v>201</v>
      </c>
      <c r="B146" s="3" t="s">
        <v>44</v>
      </c>
      <c r="C146" s="3" t="s">
        <v>24</v>
      </c>
      <c r="D146" s="3" t="s">
        <v>110</v>
      </c>
      <c r="E146" s="3">
        <v>5</v>
      </c>
      <c r="F146" s="3">
        <v>1</v>
      </c>
      <c r="G146" s="3">
        <v>170999</v>
      </c>
    </row>
    <row r="147" spans="1:7">
      <c r="A147" s="3" t="s">
        <v>202</v>
      </c>
      <c r="B147" s="3" t="s">
        <v>44</v>
      </c>
      <c r="C147" s="3" t="s">
        <v>24</v>
      </c>
      <c r="D147" s="3" t="s">
        <v>65</v>
      </c>
      <c r="E147" s="3">
        <v>5</v>
      </c>
      <c r="F147" s="3">
        <v>1</v>
      </c>
      <c r="G147" s="3">
        <v>160783</v>
      </c>
    </row>
    <row r="148" spans="1:7">
      <c r="A148" s="3" t="s">
        <v>203</v>
      </c>
      <c r="B148" s="3" t="s">
        <v>44</v>
      </c>
      <c r="C148" s="3" t="s">
        <v>24</v>
      </c>
      <c r="D148" s="3" t="s">
        <v>67</v>
      </c>
      <c r="E148" s="3">
        <v>3</v>
      </c>
      <c r="F148" s="3">
        <v>2</v>
      </c>
      <c r="G148" s="3">
        <v>156966</v>
      </c>
    </row>
    <row r="149" spans="1:7">
      <c r="A149" s="3" t="s">
        <v>204</v>
      </c>
      <c r="B149" s="3" t="s">
        <v>44</v>
      </c>
      <c r="C149" s="3" t="s">
        <v>24</v>
      </c>
      <c r="D149" s="3" t="s">
        <v>65</v>
      </c>
      <c r="E149" s="3">
        <v>5</v>
      </c>
      <c r="F149" s="3">
        <v>1</v>
      </c>
      <c r="G149" s="3">
        <v>196555</v>
      </c>
    </row>
    <row r="150" spans="1:7">
      <c r="A150" s="3" t="s">
        <v>205</v>
      </c>
      <c r="B150" s="3" t="s">
        <v>44</v>
      </c>
      <c r="C150" s="3" t="s">
        <v>24</v>
      </c>
      <c r="D150" s="3" t="s">
        <v>67</v>
      </c>
      <c r="E150" s="3">
        <v>4</v>
      </c>
      <c r="F150" s="3">
        <v>2</v>
      </c>
      <c r="G150" s="3">
        <v>159828</v>
      </c>
    </row>
    <row r="151" spans="1:7">
      <c r="A151" s="3" t="s">
        <v>206</v>
      </c>
      <c r="B151" s="3" t="s">
        <v>44</v>
      </c>
      <c r="C151" s="3" t="s">
        <v>24</v>
      </c>
      <c r="D151" s="3" t="s">
        <v>110</v>
      </c>
      <c r="E151" s="3">
        <v>4</v>
      </c>
      <c r="F151" s="3">
        <v>3</v>
      </c>
      <c r="G151" s="3">
        <v>183312</v>
      </c>
    </row>
    <row r="152" spans="1:7">
      <c r="A152" s="3" t="s">
        <v>207</v>
      </c>
      <c r="B152" s="3" t="s">
        <v>44</v>
      </c>
      <c r="C152" s="3" t="s">
        <v>24</v>
      </c>
      <c r="D152" s="3" t="s">
        <v>156</v>
      </c>
      <c r="E152" s="3">
        <v>5</v>
      </c>
      <c r="F152" s="3">
        <v>1</v>
      </c>
      <c r="G152" s="3">
        <v>172070</v>
      </c>
    </row>
    <row r="153" spans="1:7">
      <c r="A153" s="3" t="s">
        <v>208</v>
      </c>
      <c r="B153" s="3" t="s">
        <v>44</v>
      </c>
      <c r="C153" s="3" t="s">
        <v>24</v>
      </c>
      <c r="D153" s="3" t="s">
        <v>67</v>
      </c>
      <c r="E153" s="3">
        <v>3</v>
      </c>
      <c r="F153" s="3">
        <v>2</v>
      </c>
      <c r="G153" s="3">
        <v>128948</v>
      </c>
    </row>
    <row r="154" spans="1:7">
      <c r="A154" s="3" t="s">
        <v>209</v>
      </c>
      <c r="B154" s="3" t="s">
        <v>44</v>
      </c>
      <c r="C154" s="3" t="s">
        <v>24</v>
      </c>
      <c r="D154" s="3" t="s">
        <v>110</v>
      </c>
      <c r="E154" s="3">
        <v>5</v>
      </c>
      <c r="F154" s="3">
        <v>2</v>
      </c>
      <c r="G154" s="3">
        <v>222984</v>
      </c>
    </row>
    <row r="155" spans="1:7">
      <c r="A155" s="3" t="s">
        <v>210</v>
      </c>
      <c r="B155" s="3" t="s">
        <v>44</v>
      </c>
      <c r="C155" s="3" t="s">
        <v>24</v>
      </c>
      <c r="D155" s="3" t="s">
        <v>67</v>
      </c>
      <c r="E155" s="3">
        <v>2</v>
      </c>
      <c r="F155" s="3">
        <v>1</v>
      </c>
      <c r="G155" s="3">
        <v>92177</v>
      </c>
    </row>
    <row r="156" spans="1:7">
      <c r="A156" s="3" t="s">
        <v>211</v>
      </c>
      <c r="B156" s="3" t="s">
        <v>44</v>
      </c>
      <c r="C156" s="3" t="s">
        <v>24</v>
      </c>
      <c r="D156" s="3" t="s">
        <v>65</v>
      </c>
      <c r="E156" s="3">
        <v>4</v>
      </c>
      <c r="F156" s="3">
        <v>3</v>
      </c>
      <c r="G156" s="3">
        <v>175724</v>
      </c>
    </row>
    <row r="157" spans="1:7">
      <c r="A157" s="3" t="s">
        <v>212</v>
      </c>
      <c r="B157" s="3" t="s">
        <v>44</v>
      </c>
      <c r="C157" s="3" t="s">
        <v>24</v>
      </c>
      <c r="D157" s="3" t="s">
        <v>59</v>
      </c>
      <c r="E157" s="3">
        <v>4</v>
      </c>
      <c r="F157" s="3">
        <v>1</v>
      </c>
      <c r="G157" s="3">
        <v>172676</v>
      </c>
    </row>
    <row r="158" spans="1:7">
      <c r="A158" s="3" t="s">
        <v>213</v>
      </c>
      <c r="B158" s="3" t="s">
        <v>44</v>
      </c>
      <c r="C158" s="3" t="s">
        <v>24</v>
      </c>
      <c r="D158" s="3" t="s">
        <v>65</v>
      </c>
      <c r="E158" s="3">
        <v>2</v>
      </c>
      <c r="F158" s="3">
        <v>2</v>
      </c>
      <c r="G158" s="3">
        <v>117266</v>
      </c>
    </row>
    <row r="159" spans="1:7">
      <c r="A159" s="3" t="s">
        <v>214</v>
      </c>
      <c r="B159" s="3" t="s">
        <v>44</v>
      </c>
      <c r="C159" s="3" t="s">
        <v>24</v>
      </c>
      <c r="D159" s="3" t="s">
        <v>62</v>
      </c>
      <c r="E159" s="3">
        <v>4</v>
      </c>
      <c r="F159" s="3">
        <v>2</v>
      </c>
      <c r="G159" s="3">
        <v>148970</v>
      </c>
    </row>
    <row r="160" spans="1:7">
      <c r="A160" s="3" t="s">
        <v>215</v>
      </c>
      <c r="B160" s="3" t="s">
        <v>44</v>
      </c>
      <c r="C160" s="3" t="s">
        <v>24</v>
      </c>
      <c r="D160" s="3" t="s">
        <v>51</v>
      </c>
      <c r="E160" s="3">
        <v>4</v>
      </c>
      <c r="F160" s="3">
        <v>3</v>
      </c>
      <c r="G160" s="3">
        <v>165011</v>
      </c>
    </row>
    <row r="161" spans="1:7">
      <c r="A161" s="3" t="s">
        <v>216</v>
      </c>
      <c r="B161" s="3" t="s">
        <v>44</v>
      </c>
      <c r="C161" s="3" t="s">
        <v>24</v>
      </c>
      <c r="D161" s="3" t="s">
        <v>51</v>
      </c>
      <c r="E161" s="3">
        <v>4</v>
      </c>
      <c r="F161" s="3">
        <v>3</v>
      </c>
      <c r="G161" s="3">
        <v>158013</v>
      </c>
    </row>
    <row r="162" spans="1:7">
      <c r="A162" s="3" t="s">
        <v>217</v>
      </c>
      <c r="B162" s="3" t="s">
        <v>44</v>
      </c>
      <c r="C162" s="3" t="s">
        <v>24</v>
      </c>
      <c r="D162" s="3" t="s">
        <v>51</v>
      </c>
      <c r="E162" s="3">
        <v>3</v>
      </c>
      <c r="F162" s="3">
        <v>1</v>
      </c>
      <c r="G162" s="3">
        <v>125767</v>
      </c>
    </row>
    <row r="163" spans="1:7">
      <c r="A163" s="3" t="s">
        <v>218</v>
      </c>
      <c r="B163" s="3" t="s">
        <v>44</v>
      </c>
      <c r="C163" s="3" t="s">
        <v>24</v>
      </c>
      <c r="D163" s="3" t="s">
        <v>67</v>
      </c>
      <c r="E163" s="3">
        <v>5</v>
      </c>
      <c r="F163" s="3">
        <v>2</v>
      </c>
      <c r="G163" s="3">
        <v>185368</v>
      </c>
    </row>
    <row r="164" spans="1:7">
      <c r="A164" s="3" t="s">
        <v>219</v>
      </c>
      <c r="B164" s="3" t="s">
        <v>44</v>
      </c>
      <c r="C164" s="3" t="s">
        <v>24</v>
      </c>
      <c r="D164" s="3" t="s">
        <v>65</v>
      </c>
      <c r="E164" s="3">
        <v>5</v>
      </c>
      <c r="F164" s="3">
        <v>1</v>
      </c>
      <c r="G164" s="3">
        <v>209706</v>
      </c>
    </row>
    <row r="165" spans="1:7">
      <c r="A165" s="3" t="s">
        <v>220</v>
      </c>
      <c r="B165" s="3" t="s">
        <v>44</v>
      </c>
      <c r="C165" s="3" t="s">
        <v>24</v>
      </c>
      <c r="D165" s="3" t="s">
        <v>67</v>
      </c>
      <c r="E165" s="3">
        <v>2</v>
      </c>
      <c r="F165" s="3">
        <v>2</v>
      </c>
      <c r="G165" s="3">
        <v>87138</v>
      </c>
    </row>
    <row r="166" spans="1:7">
      <c r="A166" s="3" t="s">
        <v>221</v>
      </c>
      <c r="B166" s="3" t="s">
        <v>44</v>
      </c>
      <c r="C166" s="3" t="s">
        <v>24</v>
      </c>
      <c r="D166" s="3" t="s">
        <v>107</v>
      </c>
      <c r="E166" s="3">
        <v>2</v>
      </c>
      <c r="F166" s="3">
        <v>2</v>
      </c>
      <c r="G166" s="3">
        <v>91016</v>
      </c>
    </row>
    <row r="167" spans="1:7">
      <c r="A167" s="3" t="s">
        <v>222</v>
      </c>
      <c r="B167" s="3" t="s">
        <v>44</v>
      </c>
      <c r="C167" s="3" t="s">
        <v>24</v>
      </c>
      <c r="D167" s="3" t="s">
        <v>47</v>
      </c>
      <c r="E167" s="3">
        <v>2</v>
      </c>
      <c r="F167" s="3">
        <v>1</v>
      </c>
      <c r="G167" s="3">
        <v>83702</v>
      </c>
    </row>
    <row r="168" spans="1:7">
      <c r="A168" s="3" t="s">
        <v>223</v>
      </c>
      <c r="B168" s="3" t="s">
        <v>44</v>
      </c>
      <c r="C168" s="3" t="s">
        <v>24</v>
      </c>
      <c r="D168" s="3" t="s">
        <v>62</v>
      </c>
      <c r="E168" s="3">
        <v>5</v>
      </c>
      <c r="F168" s="3">
        <v>5</v>
      </c>
      <c r="G168" s="3">
        <v>234335</v>
      </c>
    </row>
    <row r="169" spans="1:7">
      <c r="A169" s="3" t="s">
        <v>224</v>
      </c>
      <c r="B169" s="3" t="s">
        <v>44</v>
      </c>
      <c r="C169" s="3" t="s">
        <v>24</v>
      </c>
      <c r="D169" s="3" t="s">
        <v>51</v>
      </c>
      <c r="E169" s="3">
        <v>3</v>
      </c>
      <c r="F169" s="3">
        <v>2</v>
      </c>
      <c r="G169" s="3">
        <v>156444</v>
      </c>
    </row>
    <row r="170" spans="1:7">
      <c r="A170" s="3" t="s">
        <v>225</v>
      </c>
      <c r="B170" s="3" t="s">
        <v>44</v>
      </c>
      <c r="C170" s="3" t="s">
        <v>24</v>
      </c>
      <c r="D170" s="3" t="s">
        <v>51</v>
      </c>
      <c r="E170" s="3">
        <v>2</v>
      </c>
      <c r="F170" s="3">
        <v>2</v>
      </c>
      <c r="G170" s="3">
        <v>113160</v>
      </c>
    </row>
    <row r="171" spans="1:7">
      <c r="A171" s="3" t="s">
        <v>226</v>
      </c>
      <c r="B171" s="3" t="s">
        <v>44</v>
      </c>
      <c r="C171" s="3" t="s">
        <v>24</v>
      </c>
      <c r="D171" s="3" t="s">
        <v>51</v>
      </c>
      <c r="E171" s="3">
        <v>2</v>
      </c>
      <c r="F171" s="3">
        <v>1</v>
      </c>
      <c r="G171" s="3">
        <v>97453</v>
      </c>
    </row>
    <row r="172" spans="1:7">
      <c r="A172" s="3" t="s">
        <v>227</v>
      </c>
      <c r="B172" s="3" t="s">
        <v>44</v>
      </c>
      <c r="C172" s="3" t="s">
        <v>24</v>
      </c>
      <c r="D172" s="3" t="s">
        <v>156</v>
      </c>
      <c r="E172" s="3">
        <v>5</v>
      </c>
      <c r="F172" s="3">
        <v>3</v>
      </c>
      <c r="G172" s="3">
        <v>251884</v>
      </c>
    </row>
    <row r="173" spans="1:7">
      <c r="A173" s="3" t="s">
        <v>228</v>
      </c>
      <c r="B173" s="3" t="s">
        <v>44</v>
      </c>
      <c r="C173" s="3" t="s">
        <v>24</v>
      </c>
      <c r="D173" s="3" t="s">
        <v>65</v>
      </c>
      <c r="E173" s="3">
        <v>3</v>
      </c>
      <c r="F173" s="3">
        <v>2</v>
      </c>
      <c r="G173" s="3">
        <v>139854</v>
      </c>
    </row>
    <row r="174" spans="1:7">
      <c r="A174" s="3" t="s">
        <v>229</v>
      </c>
      <c r="B174" s="3" t="s">
        <v>44</v>
      </c>
      <c r="C174" s="3" t="s">
        <v>24</v>
      </c>
      <c r="D174" s="3" t="s">
        <v>96</v>
      </c>
      <c r="E174" s="3">
        <v>3</v>
      </c>
      <c r="F174" s="3">
        <v>2</v>
      </c>
      <c r="G174" s="3">
        <v>128474</v>
      </c>
    </row>
    <row r="175" spans="1:7">
      <c r="A175" s="3" t="s">
        <v>230</v>
      </c>
      <c r="B175" s="3" t="s">
        <v>44</v>
      </c>
      <c r="C175" s="3" t="s">
        <v>24</v>
      </c>
      <c r="D175" s="3" t="s">
        <v>76</v>
      </c>
      <c r="E175" s="3">
        <v>5</v>
      </c>
      <c r="F175" s="3">
        <v>3</v>
      </c>
      <c r="G175" s="3">
        <v>220122</v>
      </c>
    </row>
    <row r="176" spans="1:7">
      <c r="A176" s="3" t="s">
        <v>231</v>
      </c>
      <c r="B176" s="3" t="s">
        <v>44</v>
      </c>
      <c r="C176" s="3" t="s">
        <v>24</v>
      </c>
      <c r="D176" s="3" t="s">
        <v>65</v>
      </c>
      <c r="E176" s="3">
        <v>4</v>
      </c>
      <c r="F176" s="3">
        <v>1</v>
      </c>
      <c r="G176" s="3">
        <v>135209</v>
      </c>
    </row>
    <row r="177" spans="1:7">
      <c r="A177" s="3" t="s">
        <v>232</v>
      </c>
      <c r="B177" s="3" t="s">
        <v>44</v>
      </c>
      <c r="C177" s="3" t="s">
        <v>24</v>
      </c>
      <c r="D177" s="3" t="s">
        <v>67</v>
      </c>
      <c r="E177" s="3">
        <v>5</v>
      </c>
      <c r="F177" s="3">
        <v>5</v>
      </c>
      <c r="G177" s="3">
        <v>245160</v>
      </c>
    </row>
    <row r="178" spans="1:7">
      <c r="A178" s="3" t="s">
        <v>233</v>
      </c>
      <c r="B178" s="3" t="s">
        <v>44</v>
      </c>
      <c r="C178" s="3" t="s">
        <v>24</v>
      </c>
      <c r="D178" s="3" t="s">
        <v>165</v>
      </c>
      <c r="E178" s="3">
        <v>2</v>
      </c>
      <c r="F178" s="3">
        <v>1</v>
      </c>
      <c r="G178" s="3">
        <v>78215</v>
      </c>
    </row>
    <row r="179" spans="1:7">
      <c r="A179" s="3" t="s">
        <v>234</v>
      </c>
      <c r="B179" s="3" t="s">
        <v>44</v>
      </c>
      <c r="C179" s="3" t="s">
        <v>24</v>
      </c>
      <c r="D179" s="3" t="s">
        <v>79</v>
      </c>
      <c r="E179" s="3">
        <v>3</v>
      </c>
      <c r="F179" s="3">
        <v>2</v>
      </c>
      <c r="G179" s="3">
        <v>125249</v>
      </c>
    </row>
    <row r="180" spans="1:7">
      <c r="A180" s="3" t="s">
        <v>235</v>
      </c>
      <c r="B180" s="3" t="s">
        <v>44</v>
      </c>
      <c r="C180" s="3" t="s">
        <v>24</v>
      </c>
      <c r="D180" s="3" t="s">
        <v>236</v>
      </c>
      <c r="E180" s="3">
        <v>3</v>
      </c>
      <c r="F180" s="3">
        <v>3</v>
      </c>
      <c r="G180" s="3">
        <v>165936</v>
      </c>
    </row>
    <row r="181" spans="1:7">
      <c r="A181" s="3" t="s">
        <v>237</v>
      </c>
      <c r="B181" s="3" t="s">
        <v>44</v>
      </c>
      <c r="C181" s="3" t="s">
        <v>24</v>
      </c>
      <c r="D181" s="3" t="s">
        <v>79</v>
      </c>
      <c r="E181" s="3">
        <v>5</v>
      </c>
      <c r="F181" s="3">
        <v>5</v>
      </c>
      <c r="G181" s="3">
        <v>295885</v>
      </c>
    </row>
    <row r="182" spans="1:7">
      <c r="A182" s="3" t="s">
        <v>238</v>
      </c>
      <c r="B182" s="3" t="s">
        <v>44</v>
      </c>
      <c r="C182" s="3" t="s">
        <v>24</v>
      </c>
      <c r="D182" s="3" t="s">
        <v>79</v>
      </c>
      <c r="E182" s="3">
        <v>5</v>
      </c>
      <c r="F182" s="3">
        <v>1</v>
      </c>
      <c r="G182" s="3">
        <v>205458</v>
      </c>
    </row>
    <row r="183" spans="1:7">
      <c r="A183" s="3" t="s">
        <v>239</v>
      </c>
      <c r="B183" s="3" t="s">
        <v>44</v>
      </c>
      <c r="C183" s="3" t="s">
        <v>24</v>
      </c>
      <c r="D183" s="3" t="s">
        <v>59</v>
      </c>
      <c r="E183" s="3">
        <v>5</v>
      </c>
      <c r="F183" s="3">
        <v>4</v>
      </c>
      <c r="G183" s="3">
        <v>276397</v>
      </c>
    </row>
    <row r="184" spans="1:7">
      <c r="A184" s="3" t="s">
        <v>240</v>
      </c>
      <c r="B184" s="3" t="s">
        <v>44</v>
      </c>
      <c r="C184" s="3" t="s">
        <v>24</v>
      </c>
      <c r="D184" s="3" t="s">
        <v>79</v>
      </c>
      <c r="E184" s="3">
        <v>3</v>
      </c>
      <c r="F184" s="3">
        <v>3</v>
      </c>
      <c r="G184" s="3">
        <v>183426</v>
      </c>
    </row>
    <row r="185" spans="1:7">
      <c r="A185" s="3" t="s">
        <v>241</v>
      </c>
      <c r="B185" s="3" t="s">
        <v>44</v>
      </c>
      <c r="C185" s="3" t="s">
        <v>24</v>
      </c>
      <c r="D185" s="3" t="s">
        <v>67</v>
      </c>
      <c r="E185" s="3">
        <v>3</v>
      </c>
      <c r="F185" s="3">
        <v>1</v>
      </c>
      <c r="G185" s="3">
        <v>104147</v>
      </c>
    </row>
    <row r="186" spans="1:7">
      <c r="A186" s="3" t="s">
        <v>242</v>
      </c>
      <c r="B186" s="3" t="s">
        <v>44</v>
      </c>
      <c r="C186" s="3" t="s">
        <v>24</v>
      </c>
      <c r="D186" s="3" t="s">
        <v>67</v>
      </c>
      <c r="E186" s="3">
        <v>2</v>
      </c>
      <c r="F186" s="3">
        <v>1</v>
      </c>
      <c r="G186" s="3">
        <v>97798</v>
      </c>
    </row>
    <row r="187" spans="1:7">
      <c r="A187" s="3" t="s">
        <v>243</v>
      </c>
      <c r="B187" s="3" t="s">
        <v>44</v>
      </c>
      <c r="C187" s="3" t="s">
        <v>24</v>
      </c>
      <c r="D187" s="3" t="s">
        <v>65</v>
      </c>
      <c r="E187" s="3">
        <v>2</v>
      </c>
      <c r="F187" s="3">
        <v>2</v>
      </c>
      <c r="G187" s="3">
        <v>110060</v>
      </c>
    </row>
    <row r="188" spans="1:7">
      <c r="A188" s="3" t="s">
        <v>244</v>
      </c>
      <c r="B188" s="3" t="s">
        <v>44</v>
      </c>
      <c r="C188" s="3" t="s">
        <v>24</v>
      </c>
      <c r="D188" s="3" t="s">
        <v>67</v>
      </c>
      <c r="E188" s="3">
        <v>2</v>
      </c>
      <c r="F188" s="3">
        <v>1</v>
      </c>
      <c r="G188" s="3">
        <v>86726</v>
      </c>
    </row>
    <row r="189" spans="1:7">
      <c r="A189" s="3" t="s">
        <v>245</v>
      </c>
      <c r="B189" s="3" t="s">
        <v>44</v>
      </c>
      <c r="C189" s="3" t="s">
        <v>24</v>
      </c>
      <c r="D189" s="3" t="s">
        <v>107</v>
      </c>
      <c r="E189" s="3">
        <v>5</v>
      </c>
      <c r="F189" s="3">
        <v>3</v>
      </c>
      <c r="G189" s="3">
        <v>206266</v>
      </c>
    </row>
    <row r="190" spans="1:7">
      <c r="A190" s="3" t="s">
        <v>246</v>
      </c>
      <c r="B190" s="3" t="s">
        <v>44</v>
      </c>
      <c r="C190" s="3" t="s">
        <v>24</v>
      </c>
      <c r="D190" s="3" t="s">
        <v>62</v>
      </c>
      <c r="E190" s="3">
        <v>2</v>
      </c>
      <c r="F190" s="3">
        <v>1</v>
      </c>
      <c r="G190" s="3">
        <v>97179</v>
      </c>
    </row>
    <row r="191" spans="1:7">
      <c r="A191" s="3" t="s">
        <v>247</v>
      </c>
      <c r="B191" s="3" t="s">
        <v>44</v>
      </c>
      <c r="C191" s="3" t="s">
        <v>24</v>
      </c>
      <c r="D191" s="3" t="s">
        <v>67</v>
      </c>
      <c r="E191" s="3">
        <v>2</v>
      </c>
      <c r="F191" s="3">
        <v>1</v>
      </c>
      <c r="G191" s="3">
        <v>86526</v>
      </c>
    </row>
    <row r="192" spans="1:7">
      <c r="A192" s="3" t="s">
        <v>248</v>
      </c>
      <c r="B192" s="3" t="s">
        <v>44</v>
      </c>
      <c r="C192" s="3" t="s">
        <v>24</v>
      </c>
      <c r="D192" s="3" t="s">
        <v>59</v>
      </c>
      <c r="E192" s="3">
        <v>4</v>
      </c>
      <c r="F192" s="3">
        <v>4</v>
      </c>
      <c r="G192" s="3">
        <v>226192</v>
      </c>
    </row>
    <row r="193" spans="1:7">
      <c r="A193" s="3" t="s">
        <v>249</v>
      </c>
      <c r="B193" s="3" t="s">
        <v>44</v>
      </c>
      <c r="C193" s="3" t="s">
        <v>24</v>
      </c>
      <c r="D193" s="3" t="s">
        <v>67</v>
      </c>
      <c r="E193" s="3">
        <v>4</v>
      </c>
      <c r="F193" s="3">
        <v>2</v>
      </c>
      <c r="G193" s="3">
        <v>156296</v>
      </c>
    </row>
    <row r="194" spans="1:7">
      <c r="A194" s="3" t="s">
        <v>250</v>
      </c>
      <c r="B194" s="3" t="s">
        <v>44</v>
      </c>
      <c r="C194" s="3" t="s">
        <v>24</v>
      </c>
      <c r="D194" s="3" t="s">
        <v>79</v>
      </c>
      <c r="E194" s="3">
        <v>4</v>
      </c>
      <c r="F194" s="3">
        <v>2</v>
      </c>
      <c r="G194" s="3">
        <v>169104</v>
      </c>
    </row>
    <row r="195" spans="1:7">
      <c r="A195" s="3" t="s">
        <v>251</v>
      </c>
      <c r="B195" s="3" t="s">
        <v>44</v>
      </c>
      <c r="C195" s="3" t="s">
        <v>24</v>
      </c>
      <c r="D195" s="3" t="s">
        <v>79</v>
      </c>
      <c r="E195" s="3">
        <v>4</v>
      </c>
      <c r="F195" s="3">
        <v>1</v>
      </c>
      <c r="G195" s="3">
        <v>160900</v>
      </c>
    </row>
    <row r="196" spans="1:7">
      <c r="A196" s="3" t="s">
        <v>252</v>
      </c>
      <c r="B196" s="3" t="s">
        <v>44</v>
      </c>
      <c r="C196" s="3" t="s">
        <v>24</v>
      </c>
      <c r="D196" s="3" t="s">
        <v>67</v>
      </c>
      <c r="E196" s="3">
        <v>4</v>
      </c>
      <c r="F196" s="3">
        <v>1</v>
      </c>
      <c r="G196" s="3">
        <v>149602</v>
      </c>
    </row>
    <row r="197" spans="1:7">
      <c r="A197" s="3" t="s">
        <v>252</v>
      </c>
      <c r="B197" s="3" t="s">
        <v>44</v>
      </c>
      <c r="C197" s="3" t="s">
        <v>24</v>
      </c>
      <c r="D197" s="3" t="s">
        <v>67</v>
      </c>
      <c r="E197" s="3">
        <v>5</v>
      </c>
      <c r="F197" s="3">
        <v>4</v>
      </c>
      <c r="G197" s="3">
        <v>223237</v>
      </c>
    </row>
    <row r="198" spans="1:7">
      <c r="A198" s="3" t="s">
        <v>253</v>
      </c>
      <c r="B198" s="3" t="s">
        <v>44</v>
      </c>
      <c r="C198" s="3" t="s">
        <v>24</v>
      </c>
      <c r="D198" s="3" t="s">
        <v>65</v>
      </c>
      <c r="E198" s="3">
        <v>2</v>
      </c>
      <c r="F198" s="3">
        <v>2</v>
      </c>
      <c r="G198" s="3">
        <v>88196</v>
      </c>
    </row>
    <row r="199" spans="1:7">
      <c r="A199" s="3" t="s">
        <v>254</v>
      </c>
      <c r="B199" s="3" t="s">
        <v>44</v>
      </c>
      <c r="C199" s="3" t="s">
        <v>24</v>
      </c>
      <c r="D199" s="3" t="s">
        <v>65</v>
      </c>
      <c r="E199" s="3">
        <v>2</v>
      </c>
      <c r="F199" s="3">
        <v>2</v>
      </c>
      <c r="G199" s="3">
        <v>112032</v>
      </c>
    </row>
    <row r="200" spans="1:7">
      <c r="A200" s="3" t="s">
        <v>255</v>
      </c>
      <c r="B200" s="3" t="s">
        <v>44</v>
      </c>
      <c r="C200" s="3" t="s">
        <v>24</v>
      </c>
      <c r="D200" s="3" t="s">
        <v>67</v>
      </c>
      <c r="E200" s="3">
        <v>5</v>
      </c>
      <c r="F200" s="3">
        <v>2</v>
      </c>
      <c r="G200" s="3">
        <v>193886</v>
      </c>
    </row>
    <row r="201" spans="1:7">
      <c r="A201" s="3" t="s">
        <v>256</v>
      </c>
      <c r="B201" s="3" t="s">
        <v>44</v>
      </c>
      <c r="C201" s="3" t="s">
        <v>24</v>
      </c>
      <c r="D201" s="3" t="s">
        <v>67</v>
      </c>
      <c r="E201" s="3">
        <v>4</v>
      </c>
      <c r="F201" s="3">
        <v>2</v>
      </c>
      <c r="G201" s="3">
        <v>179872</v>
      </c>
    </row>
    <row r="202" spans="1:7">
      <c r="A202" s="3" t="s">
        <v>257</v>
      </c>
      <c r="B202" s="3" t="s">
        <v>44</v>
      </c>
      <c r="C202" s="3" t="s">
        <v>24</v>
      </c>
      <c r="D202" s="3" t="s">
        <v>65</v>
      </c>
      <c r="E202" s="3">
        <v>4</v>
      </c>
      <c r="F202" s="3">
        <v>1</v>
      </c>
      <c r="G202" s="3">
        <v>158518</v>
      </c>
    </row>
    <row r="203" spans="1:7">
      <c r="A203" s="3" t="s">
        <v>258</v>
      </c>
      <c r="B203" s="3" t="s">
        <v>44</v>
      </c>
      <c r="C203" s="3" t="s">
        <v>24</v>
      </c>
      <c r="D203" s="3" t="s">
        <v>259</v>
      </c>
      <c r="E203" s="3">
        <v>4</v>
      </c>
      <c r="F203" s="3">
        <v>2</v>
      </c>
      <c r="G203" s="3">
        <v>182026</v>
      </c>
    </row>
    <row r="204" spans="1:7">
      <c r="A204" s="3" t="s">
        <v>260</v>
      </c>
      <c r="B204" s="3" t="s">
        <v>44</v>
      </c>
      <c r="C204" s="3" t="s">
        <v>24</v>
      </c>
      <c r="D204" s="3" t="s">
        <v>261</v>
      </c>
      <c r="E204" s="3">
        <v>3</v>
      </c>
      <c r="F204" s="3">
        <v>2</v>
      </c>
      <c r="G204" s="3">
        <v>148620</v>
      </c>
    </row>
    <row r="205" spans="1:7">
      <c r="A205" s="3" t="s">
        <v>262</v>
      </c>
      <c r="B205" s="3" t="s">
        <v>44</v>
      </c>
      <c r="C205" s="3" t="s">
        <v>24</v>
      </c>
      <c r="D205" s="3" t="s">
        <v>79</v>
      </c>
      <c r="E205" s="3">
        <v>5</v>
      </c>
      <c r="F205" s="3">
        <v>3</v>
      </c>
      <c r="G205" s="3">
        <v>248025</v>
      </c>
    </row>
    <row r="206" spans="1:7">
      <c r="A206" s="3" t="s">
        <v>263</v>
      </c>
      <c r="B206" s="3" t="s">
        <v>44</v>
      </c>
      <c r="C206" s="3" t="s">
        <v>24</v>
      </c>
      <c r="D206" s="3" t="s">
        <v>67</v>
      </c>
      <c r="E206" s="3">
        <v>4</v>
      </c>
      <c r="F206" s="3">
        <v>4</v>
      </c>
      <c r="G206" s="3">
        <v>228116</v>
      </c>
    </row>
    <row r="207" spans="1:7">
      <c r="A207" s="3" t="s">
        <v>264</v>
      </c>
      <c r="B207" s="3" t="s">
        <v>44</v>
      </c>
      <c r="C207" s="3" t="s">
        <v>24</v>
      </c>
      <c r="D207" s="3" t="s">
        <v>110</v>
      </c>
      <c r="E207" s="3">
        <v>5</v>
      </c>
      <c r="F207" s="3">
        <v>3</v>
      </c>
      <c r="G207" s="3">
        <v>221982</v>
      </c>
    </row>
    <row r="208" spans="1:7">
      <c r="A208" s="3" t="s">
        <v>265</v>
      </c>
      <c r="B208" s="3" t="s">
        <v>44</v>
      </c>
      <c r="C208" s="3" t="s">
        <v>24</v>
      </c>
      <c r="D208" s="3" t="s">
        <v>51</v>
      </c>
      <c r="E208" s="3">
        <v>2</v>
      </c>
      <c r="F208" s="3">
        <v>1</v>
      </c>
      <c r="G208" s="3">
        <v>91317</v>
      </c>
    </row>
    <row r="209" spans="1:7">
      <c r="A209" s="3" t="s">
        <v>266</v>
      </c>
      <c r="B209" s="3" t="s">
        <v>44</v>
      </c>
      <c r="C209" s="3" t="s">
        <v>24</v>
      </c>
      <c r="D209" s="3" t="s">
        <v>267</v>
      </c>
      <c r="E209" s="3">
        <v>2</v>
      </c>
      <c r="F209" s="3">
        <v>2</v>
      </c>
      <c r="G209" s="3">
        <v>105436</v>
      </c>
    </row>
    <row r="210" spans="1:7">
      <c r="A210" s="3" t="s">
        <v>268</v>
      </c>
      <c r="B210" s="3" t="s">
        <v>44</v>
      </c>
      <c r="C210" s="3" t="s">
        <v>24</v>
      </c>
      <c r="D210" s="3" t="s">
        <v>51</v>
      </c>
      <c r="E210" s="3">
        <v>3</v>
      </c>
      <c r="F210" s="3">
        <v>2</v>
      </c>
      <c r="G210" s="3">
        <v>140597</v>
      </c>
    </row>
    <row r="211" spans="1:7">
      <c r="A211" s="3" t="s">
        <v>269</v>
      </c>
      <c r="B211" s="3" t="s">
        <v>44</v>
      </c>
      <c r="C211" s="3" t="s">
        <v>24</v>
      </c>
      <c r="D211" s="3" t="s">
        <v>51</v>
      </c>
      <c r="E211" s="3">
        <v>2</v>
      </c>
      <c r="F211" s="3">
        <v>1</v>
      </c>
      <c r="G211" s="3">
        <v>74169</v>
      </c>
    </row>
    <row r="212" spans="1:7">
      <c r="A212" s="3" t="s">
        <v>270</v>
      </c>
      <c r="B212" s="3" t="s">
        <v>44</v>
      </c>
      <c r="C212" s="3" t="s">
        <v>24</v>
      </c>
      <c r="D212" s="3" t="s">
        <v>67</v>
      </c>
      <c r="E212" s="3">
        <v>5</v>
      </c>
      <c r="F212" s="3">
        <v>1</v>
      </c>
      <c r="G212" s="3">
        <v>177528</v>
      </c>
    </row>
    <row r="213" spans="1:7">
      <c r="A213" s="3" t="s">
        <v>271</v>
      </c>
      <c r="B213" s="3" t="s">
        <v>44</v>
      </c>
      <c r="C213" s="3" t="s">
        <v>24</v>
      </c>
      <c r="D213" s="3" t="s">
        <v>107</v>
      </c>
      <c r="E213" s="3">
        <v>3</v>
      </c>
      <c r="F213" s="3">
        <v>2</v>
      </c>
      <c r="G213" s="3">
        <v>145322</v>
      </c>
    </row>
    <row r="214" spans="1:7">
      <c r="A214" s="3" t="s">
        <v>272</v>
      </c>
      <c r="B214" s="3" t="s">
        <v>44</v>
      </c>
      <c r="C214" s="3" t="s">
        <v>24</v>
      </c>
      <c r="D214" s="3" t="s">
        <v>261</v>
      </c>
      <c r="E214" s="3">
        <v>3</v>
      </c>
      <c r="F214" s="3">
        <v>2</v>
      </c>
      <c r="G214" s="3">
        <v>118654</v>
      </c>
    </row>
    <row r="215" spans="1:7">
      <c r="A215" s="3" t="s">
        <v>273</v>
      </c>
      <c r="B215" s="3" t="s">
        <v>44</v>
      </c>
      <c r="C215" s="3" t="s">
        <v>24</v>
      </c>
      <c r="D215" s="3" t="s">
        <v>110</v>
      </c>
      <c r="E215" s="3">
        <v>2</v>
      </c>
      <c r="F215" s="3">
        <v>2</v>
      </c>
      <c r="G215" s="3">
        <v>100902</v>
      </c>
    </row>
    <row r="216" spans="1:7">
      <c r="A216" s="3" t="s">
        <v>274</v>
      </c>
      <c r="B216" s="3" t="s">
        <v>44</v>
      </c>
      <c r="C216" s="3" t="s">
        <v>24</v>
      </c>
      <c r="D216" s="3" t="s">
        <v>51</v>
      </c>
      <c r="E216" s="3">
        <v>4</v>
      </c>
      <c r="F216" s="3">
        <v>1</v>
      </c>
      <c r="G216" s="3">
        <v>164410</v>
      </c>
    </row>
    <row r="217" spans="1:7">
      <c r="A217" s="3" t="s">
        <v>275</v>
      </c>
      <c r="B217" s="3" t="s">
        <v>44</v>
      </c>
      <c r="C217" s="3" t="s">
        <v>24</v>
      </c>
      <c r="D217" s="3" t="s">
        <v>57</v>
      </c>
      <c r="E217" s="3">
        <v>2</v>
      </c>
      <c r="F217" s="3">
        <v>1</v>
      </c>
      <c r="G217" s="3">
        <v>74182</v>
      </c>
    </row>
    <row r="218" spans="1:7">
      <c r="A218" s="3" t="s">
        <v>276</v>
      </c>
      <c r="B218" s="3" t="s">
        <v>44</v>
      </c>
      <c r="C218" s="3" t="s">
        <v>24</v>
      </c>
      <c r="D218" s="3" t="s">
        <v>57</v>
      </c>
      <c r="E218" s="3">
        <v>2</v>
      </c>
      <c r="F218" s="3">
        <v>2</v>
      </c>
      <c r="G218" s="3">
        <v>106134</v>
      </c>
    </row>
    <row r="219" spans="1:7">
      <c r="A219" s="3" t="s">
        <v>277</v>
      </c>
      <c r="B219" s="3" t="s">
        <v>44</v>
      </c>
      <c r="C219" s="3" t="s">
        <v>24</v>
      </c>
      <c r="D219" s="3" t="s">
        <v>62</v>
      </c>
      <c r="E219" s="3">
        <v>2</v>
      </c>
      <c r="F219" s="3">
        <v>1</v>
      </c>
      <c r="G219" s="3">
        <v>72118</v>
      </c>
    </row>
    <row r="220" spans="1:7">
      <c r="A220" s="3" t="s">
        <v>278</v>
      </c>
      <c r="B220" s="3" t="s">
        <v>44</v>
      </c>
      <c r="C220" s="3" t="s">
        <v>24</v>
      </c>
      <c r="D220" s="3" t="s">
        <v>79</v>
      </c>
      <c r="E220" s="3">
        <v>3</v>
      </c>
      <c r="F220" s="3">
        <v>3</v>
      </c>
      <c r="G220" s="3">
        <v>149379</v>
      </c>
    </row>
    <row r="221" spans="1:7">
      <c r="A221" s="3" t="s">
        <v>279</v>
      </c>
      <c r="B221" s="3" t="s">
        <v>44</v>
      </c>
      <c r="C221" s="3" t="s">
        <v>24</v>
      </c>
      <c r="D221" s="3" t="s">
        <v>67</v>
      </c>
      <c r="E221" s="3">
        <v>5</v>
      </c>
      <c r="F221" s="3">
        <v>4</v>
      </c>
      <c r="G221" s="3">
        <v>255724</v>
      </c>
    </row>
    <row r="222" spans="1:7">
      <c r="A222" s="3" t="s">
        <v>280</v>
      </c>
      <c r="B222" s="3" t="s">
        <v>44</v>
      </c>
      <c r="C222" s="3" t="s">
        <v>24</v>
      </c>
      <c r="D222" s="3" t="s">
        <v>57</v>
      </c>
      <c r="E222" s="3">
        <v>2</v>
      </c>
      <c r="F222" s="3">
        <v>1</v>
      </c>
      <c r="G222" s="3">
        <v>77337</v>
      </c>
    </row>
    <row r="223" spans="1:7">
      <c r="A223" s="3" t="s">
        <v>281</v>
      </c>
      <c r="B223" s="3" t="s">
        <v>44</v>
      </c>
      <c r="C223" s="3" t="s">
        <v>24</v>
      </c>
      <c r="D223" s="3" t="s">
        <v>165</v>
      </c>
      <c r="E223" s="3">
        <v>2</v>
      </c>
      <c r="F223" s="3">
        <v>2</v>
      </c>
      <c r="G223" s="3">
        <v>101766</v>
      </c>
    </row>
    <row r="224" spans="1:7">
      <c r="A224" s="3" t="s">
        <v>282</v>
      </c>
      <c r="B224" s="3" t="s">
        <v>44</v>
      </c>
      <c r="C224" s="3" t="s">
        <v>24</v>
      </c>
      <c r="D224" s="3" t="s">
        <v>65</v>
      </c>
      <c r="E224" s="3">
        <v>5</v>
      </c>
      <c r="F224" s="3">
        <v>5</v>
      </c>
      <c r="G224" s="3">
        <v>278630</v>
      </c>
    </row>
    <row r="225" spans="1:7">
      <c r="A225" s="3" t="s">
        <v>283</v>
      </c>
      <c r="B225" s="3" t="s">
        <v>44</v>
      </c>
      <c r="C225" s="3" t="s">
        <v>24</v>
      </c>
      <c r="D225" s="3" t="s">
        <v>57</v>
      </c>
      <c r="E225" s="3">
        <v>3</v>
      </c>
      <c r="F225" s="3">
        <v>2</v>
      </c>
      <c r="G225" s="3">
        <v>141042</v>
      </c>
    </row>
    <row r="226" spans="1:7">
      <c r="A226" s="3" t="s">
        <v>284</v>
      </c>
      <c r="B226" s="3" t="s">
        <v>44</v>
      </c>
      <c r="C226" s="3" t="s">
        <v>24</v>
      </c>
      <c r="D226" s="3" t="s">
        <v>107</v>
      </c>
      <c r="E226" s="3">
        <v>5</v>
      </c>
      <c r="F226" s="3">
        <v>4</v>
      </c>
      <c r="G226" s="3">
        <v>254222</v>
      </c>
    </row>
    <row r="227" spans="1:7">
      <c r="A227" s="3" t="s">
        <v>285</v>
      </c>
      <c r="B227" s="3" t="s">
        <v>44</v>
      </c>
      <c r="C227" s="3" t="s">
        <v>24</v>
      </c>
      <c r="D227" s="3" t="s">
        <v>72</v>
      </c>
      <c r="E227" s="3">
        <v>2</v>
      </c>
      <c r="F227" s="3">
        <v>1</v>
      </c>
      <c r="G227" s="3">
        <v>74381</v>
      </c>
    </row>
    <row r="228" spans="1:7">
      <c r="A228" s="3" t="s">
        <v>286</v>
      </c>
      <c r="B228" s="3" t="s">
        <v>44</v>
      </c>
      <c r="C228" s="3" t="s">
        <v>24</v>
      </c>
      <c r="D228" s="3" t="s">
        <v>57</v>
      </c>
      <c r="E228" s="3">
        <v>2</v>
      </c>
      <c r="F228" s="3">
        <v>1</v>
      </c>
      <c r="G228" s="3">
        <v>85859</v>
      </c>
    </row>
    <row r="229" spans="1:7">
      <c r="A229" s="3" t="s">
        <v>287</v>
      </c>
      <c r="B229" s="3" t="s">
        <v>44</v>
      </c>
      <c r="C229" s="3" t="s">
        <v>24</v>
      </c>
      <c r="D229" s="3" t="s">
        <v>67</v>
      </c>
      <c r="E229" s="3">
        <v>2</v>
      </c>
      <c r="F229" s="3">
        <v>1</v>
      </c>
      <c r="G229" s="3">
        <v>96613</v>
      </c>
    </row>
    <row r="230" spans="1:7">
      <c r="A230" s="3" t="s">
        <v>288</v>
      </c>
      <c r="B230" s="3" t="s">
        <v>44</v>
      </c>
      <c r="C230" s="3" t="s">
        <v>24</v>
      </c>
      <c r="D230" s="3" t="s">
        <v>67</v>
      </c>
      <c r="E230" s="3">
        <v>4</v>
      </c>
      <c r="F230" s="3">
        <v>4</v>
      </c>
      <c r="G230" s="3">
        <v>178744</v>
      </c>
    </row>
    <row r="231" spans="1:7">
      <c r="A231" s="3" t="s">
        <v>289</v>
      </c>
      <c r="B231" s="3" t="s">
        <v>44</v>
      </c>
      <c r="C231" s="3" t="s">
        <v>24</v>
      </c>
      <c r="D231" s="3" t="s">
        <v>165</v>
      </c>
      <c r="E231" s="3">
        <v>2</v>
      </c>
      <c r="F231" s="3">
        <v>2</v>
      </c>
      <c r="G231" s="3">
        <v>91656</v>
      </c>
    </row>
    <row r="232" spans="1:7">
      <c r="A232" s="3" t="s">
        <v>290</v>
      </c>
      <c r="B232" s="3" t="s">
        <v>44</v>
      </c>
      <c r="C232" s="3" t="s">
        <v>24</v>
      </c>
      <c r="D232" s="3" t="s">
        <v>81</v>
      </c>
      <c r="E232" s="3">
        <v>4</v>
      </c>
      <c r="F232" s="3">
        <v>3</v>
      </c>
      <c r="G232" s="3">
        <v>179339</v>
      </c>
    </row>
    <row r="233" spans="1:7">
      <c r="A233" s="3" t="s">
        <v>291</v>
      </c>
      <c r="B233" s="3" t="s">
        <v>44</v>
      </c>
      <c r="C233" s="3" t="s">
        <v>24</v>
      </c>
      <c r="D233" s="3" t="s">
        <v>81</v>
      </c>
      <c r="E233" s="3">
        <v>2</v>
      </c>
      <c r="F233" s="3">
        <v>1</v>
      </c>
      <c r="G233" s="3">
        <v>76643</v>
      </c>
    </row>
    <row r="234" spans="1:7">
      <c r="A234" s="3" t="s">
        <v>292</v>
      </c>
      <c r="B234" s="3" t="s">
        <v>44</v>
      </c>
      <c r="C234" s="3" t="s">
        <v>24</v>
      </c>
      <c r="D234" s="3" t="s">
        <v>81</v>
      </c>
      <c r="E234" s="3">
        <v>5</v>
      </c>
      <c r="F234" s="3">
        <v>1</v>
      </c>
      <c r="G234" s="3">
        <v>155587</v>
      </c>
    </row>
    <row r="235" spans="1:7">
      <c r="A235" s="3" t="s">
        <v>293</v>
      </c>
      <c r="B235" s="3" t="s">
        <v>44</v>
      </c>
      <c r="C235" s="3" t="s">
        <v>24</v>
      </c>
      <c r="D235" s="3" t="s">
        <v>81</v>
      </c>
      <c r="E235" s="3">
        <v>3</v>
      </c>
      <c r="F235" s="3">
        <v>3</v>
      </c>
      <c r="G235" s="3">
        <v>140958</v>
      </c>
    </row>
    <row r="236" spans="1:7">
      <c r="A236" s="3" t="s">
        <v>294</v>
      </c>
      <c r="B236" s="3" t="s">
        <v>44</v>
      </c>
      <c r="C236" s="3" t="s">
        <v>24</v>
      </c>
      <c r="D236" s="3" t="s">
        <v>171</v>
      </c>
      <c r="E236" s="3">
        <v>4</v>
      </c>
      <c r="F236" s="3">
        <v>1</v>
      </c>
      <c r="G236" s="3">
        <v>168017</v>
      </c>
    </row>
    <row r="237" spans="1:7">
      <c r="A237" s="3" t="s">
        <v>295</v>
      </c>
      <c r="B237" s="3" t="s">
        <v>44</v>
      </c>
      <c r="C237" s="3" t="s">
        <v>24</v>
      </c>
      <c r="D237" s="3" t="s">
        <v>67</v>
      </c>
      <c r="E237" s="3">
        <v>5</v>
      </c>
      <c r="F237" s="3">
        <v>1</v>
      </c>
      <c r="G237" s="3">
        <v>213690</v>
      </c>
    </row>
    <row r="238" spans="1:7">
      <c r="A238" s="3" t="s">
        <v>296</v>
      </c>
      <c r="B238" s="3" t="s">
        <v>44</v>
      </c>
      <c r="C238" s="3" t="s">
        <v>24</v>
      </c>
      <c r="D238" s="3" t="s">
        <v>67</v>
      </c>
      <c r="E238" s="3">
        <v>3</v>
      </c>
      <c r="F238" s="3">
        <v>2</v>
      </c>
      <c r="G238" s="3">
        <v>138200</v>
      </c>
    </row>
    <row r="239" spans="1:7">
      <c r="A239" s="3" t="s">
        <v>297</v>
      </c>
      <c r="B239" s="3" t="s">
        <v>44</v>
      </c>
      <c r="C239" s="3" t="s">
        <v>24</v>
      </c>
      <c r="D239" s="3" t="s">
        <v>59</v>
      </c>
      <c r="E239" s="3">
        <v>4</v>
      </c>
      <c r="F239" s="3">
        <v>3</v>
      </c>
      <c r="G239" s="3">
        <v>180742</v>
      </c>
    </row>
    <row r="240" spans="1:7">
      <c r="A240" s="3" t="s">
        <v>298</v>
      </c>
      <c r="B240" s="3" t="s">
        <v>44</v>
      </c>
      <c r="C240" s="3" t="s">
        <v>24</v>
      </c>
      <c r="D240" s="3" t="s">
        <v>79</v>
      </c>
      <c r="E240" s="3">
        <v>5</v>
      </c>
      <c r="F240" s="3">
        <v>4</v>
      </c>
      <c r="G240" s="3">
        <v>276675</v>
      </c>
    </row>
    <row r="241" spans="1:7">
      <c r="A241" s="3" t="s">
        <v>299</v>
      </c>
      <c r="B241" s="3" t="s">
        <v>44</v>
      </c>
      <c r="C241" s="3" t="s">
        <v>24</v>
      </c>
      <c r="D241" s="3" t="s">
        <v>57</v>
      </c>
      <c r="E241" s="3">
        <v>3</v>
      </c>
      <c r="F241" s="3">
        <v>3</v>
      </c>
      <c r="G241" s="3">
        <v>162381</v>
      </c>
    </row>
    <row r="242" spans="1:7">
      <c r="A242" s="3" t="s">
        <v>300</v>
      </c>
      <c r="B242" s="3" t="s">
        <v>44</v>
      </c>
      <c r="C242" s="3" t="s">
        <v>24</v>
      </c>
      <c r="D242" s="3" t="s">
        <v>59</v>
      </c>
      <c r="E242" s="3">
        <v>4</v>
      </c>
      <c r="F242" s="3">
        <v>1</v>
      </c>
      <c r="G242" s="3">
        <v>138738</v>
      </c>
    </row>
    <row r="243" spans="1:7">
      <c r="A243" s="3" t="s">
        <v>301</v>
      </c>
      <c r="B243" s="3" t="s">
        <v>44</v>
      </c>
      <c r="C243" s="3" t="s">
        <v>24</v>
      </c>
      <c r="D243" s="3" t="s">
        <v>57</v>
      </c>
      <c r="E243" s="3">
        <v>3</v>
      </c>
      <c r="F243" s="3">
        <v>1</v>
      </c>
      <c r="G243" s="3">
        <v>113388</v>
      </c>
    </row>
    <row r="244" spans="1:7">
      <c r="A244" s="3" t="s">
        <v>302</v>
      </c>
      <c r="B244" s="3" t="s">
        <v>44</v>
      </c>
      <c r="C244" s="3" t="s">
        <v>24</v>
      </c>
      <c r="D244" s="3" t="s">
        <v>79</v>
      </c>
      <c r="E244" s="3">
        <v>2</v>
      </c>
      <c r="F244" s="3">
        <v>2</v>
      </c>
      <c r="G244" s="3">
        <v>109160</v>
      </c>
    </row>
    <row r="245" spans="1:7">
      <c r="A245" s="3" t="s">
        <v>303</v>
      </c>
      <c r="B245" s="3" t="s">
        <v>44</v>
      </c>
      <c r="C245" s="3" t="s">
        <v>24</v>
      </c>
      <c r="D245" s="3" t="s">
        <v>65</v>
      </c>
      <c r="E245" s="3">
        <v>2</v>
      </c>
      <c r="F245" s="3">
        <v>1</v>
      </c>
      <c r="G245" s="3">
        <v>86454</v>
      </c>
    </row>
    <row r="246" spans="1:7">
      <c r="A246" s="3" t="s">
        <v>304</v>
      </c>
      <c r="B246" s="3" t="s">
        <v>44</v>
      </c>
      <c r="C246" s="3" t="s">
        <v>24</v>
      </c>
      <c r="D246" s="3" t="s">
        <v>79</v>
      </c>
      <c r="E246" s="3">
        <v>5</v>
      </c>
      <c r="F246" s="3">
        <v>3</v>
      </c>
      <c r="G246" s="3">
        <v>223229</v>
      </c>
    </row>
    <row r="247" spans="1:7">
      <c r="A247" s="3" t="s">
        <v>305</v>
      </c>
      <c r="B247" s="3" t="s">
        <v>44</v>
      </c>
      <c r="C247" s="3" t="s">
        <v>24</v>
      </c>
      <c r="D247" s="3" t="s">
        <v>306</v>
      </c>
      <c r="E247" s="3">
        <v>4</v>
      </c>
      <c r="F247" s="3">
        <v>3</v>
      </c>
      <c r="G247" s="3">
        <v>162608</v>
      </c>
    </row>
    <row r="248" spans="1:7">
      <c r="A248" s="3" t="s">
        <v>307</v>
      </c>
      <c r="B248" s="3" t="s">
        <v>44</v>
      </c>
      <c r="C248" s="3" t="s">
        <v>24</v>
      </c>
      <c r="D248" s="3" t="s">
        <v>57</v>
      </c>
      <c r="E248" s="3">
        <v>3</v>
      </c>
      <c r="F248" s="3">
        <v>1</v>
      </c>
      <c r="G248" s="3">
        <v>101803</v>
      </c>
    </row>
    <row r="249" spans="1:7">
      <c r="A249" s="3" t="s">
        <v>308</v>
      </c>
      <c r="B249" s="3" t="s">
        <v>44</v>
      </c>
      <c r="C249" s="3" t="s">
        <v>24</v>
      </c>
      <c r="D249" s="3" t="s">
        <v>165</v>
      </c>
      <c r="E249" s="3">
        <v>4</v>
      </c>
      <c r="F249" s="3">
        <v>1</v>
      </c>
      <c r="G249" s="3">
        <v>149051</v>
      </c>
    </row>
    <row r="250" spans="1:7">
      <c r="A250" s="3" t="s">
        <v>309</v>
      </c>
      <c r="B250" s="3" t="s">
        <v>44</v>
      </c>
      <c r="C250" s="3" t="s">
        <v>24</v>
      </c>
      <c r="D250" s="3" t="s">
        <v>79</v>
      </c>
      <c r="E250" s="3">
        <v>2</v>
      </c>
      <c r="F250" s="3">
        <v>1</v>
      </c>
      <c r="G250" s="3">
        <v>100701</v>
      </c>
    </row>
    <row r="251" spans="1:7">
      <c r="A251" s="3" t="s">
        <v>310</v>
      </c>
      <c r="B251" s="3" t="s">
        <v>44</v>
      </c>
      <c r="C251" s="3" t="s">
        <v>24</v>
      </c>
      <c r="D251" s="3" t="s">
        <v>165</v>
      </c>
      <c r="E251" s="3">
        <v>2</v>
      </c>
      <c r="F251" s="3">
        <v>1</v>
      </c>
      <c r="G251" s="3">
        <v>69729</v>
      </c>
    </row>
    <row r="252" spans="1:7">
      <c r="A252" s="3" t="s">
        <v>311</v>
      </c>
      <c r="B252" s="3" t="s">
        <v>44</v>
      </c>
      <c r="C252" s="3" t="s">
        <v>24</v>
      </c>
      <c r="D252" s="3" t="s">
        <v>45</v>
      </c>
      <c r="E252" s="3">
        <v>5</v>
      </c>
      <c r="F252" s="3">
        <v>4</v>
      </c>
      <c r="G252" s="3">
        <v>214204</v>
      </c>
    </row>
    <row r="253" spans="1:7">
      <c r="A253" s="3" t="s">
        <v>312</v>
      </c>
      <c r="B253" s="3" t="s">
        <v>44</v>
      </c>
      <c r="C253" s="3" t="s">
        <v>24</v>
      </c>
      <c r="D253" s="3" t="s">
        <v>57</v>
      </c>
      <c r="E253" s="3">
        <v>2</v>
      </c>
      <c r="F253" s="3">
        <v>1</v>
      </c>
      <c r="G253" s="3">
        <v>77031</v>
      </c>
    </row>
    <row r="254" spans="1:7">
      <c r="A254" s="3" t="s">
        <v>313</v>
      </c>
      <c r="B254" s="3" t="s">
        <v>44</v>
      </c>
      <c r="C254" s="3" t="s">
        <v>24</v>
      </c>
      <c r="D254" s="3" t="s">
        <v>96</v>
      </c>
      <c r="E254" s="3">
        <v>5</v>
      </c>
      <c r="F254" s="3">
        <v>2</v>
      </c>
      <c r="G254" s="3">
        <v>227655</v>
      </c>
    </row>
    <row r="255" spans="1:7">
      <c r="A255" s="3" t="s">
        <v>314</v>
      </c>
      <c r="B255" s="3" t="s">
        <v>44</v>
      </c>
      <c r="C255" s="3" t="s">
        <v>24</v>
      </c>
      <c r="D255" s="3" t="s">
        <v>59</v>
      </c>
      <c r="E255" s="3">
        <v>2</v>
      </c>
      <c r="F255" s="3">
        <v>2</v>
      </c>
      <c r="G255" s="3">
        <v>113796</v>
      </c>
    </row>
    <row r="256" spans="1:7">
      <c r="A256" s="3" t="s">
        <v>315</v>
      </c>
      <c r="B256" s="3" t="s">
        <v>44</v>
      </c>
      <c r="C256" s="3" t="s">
        <v>24</v>
      </c>
      <c r="D256" s="3" t="s">
        <v>79</v>
      </c>
      <c r="E256" s="3">
        <v>3</v>
      </c>
      <c r="F256" s="3">
        <v>2</v>
      </c>
      <c r="G256" s="3">
        <v>152847</v>
      </c>
    </row>
    <row r="257" spans="1:7">
      <c r="A257" s="3" t="s">
        <v>316</v>
      </c>
      <c r="B257" s="3" t="s">
        <v>44</v>
      </c>
      <c r="C257" s="3" t="s">
        <v>24</v>
      </c>
      <c r="D257" s="3" t="s">
        <v>261</v>
      </c>
      <c r="E257" s="3">
        <v>5</v>
      </c>
      <c r="F257" s="3">
        <v>3</v>
      </c>
      <c r="G257" s="3">
        <v>245188</v>
      </c>
    </row>
    <row r="258" spans="1:7">
      <c r="A258" s="3" t="s">
        <v>317</v>
      </c>
      <c r="B258" s="3" t="s">
        <v>44</v>
      </c>
      <c r="C258" s="3" t="s">
        <v>24</v>
      </c>
      <c r="D258" s="3" t="s">
        <v>67</v>
      </c>
      <c r="E258" s="3">
        <v>5</v>
      </c>
      <c r="F258" s="3">
        <v>5</v>
      </c>
      <c r="G258" s="3">
        <v>273260</v>
      </c>
    </row>
    <row r="259" spans="1:7">
      <c r="A259" s="3" t="s">
        <v>318</v>
      </c>
      <c r="B259" s="3" t="s">
        <v>44</v>
      </c>
      <c r="C259" s="3" t="s">
        <v>24</v>
      </c>
      <c r="D259" s="3" t="s">
        <v>72</v>
      </c>
      <c r="E259" s="3">
        <v>4</v>
      </c>
      <c r="F259" s="3">
        <v>4</v>
      </c>
      <c r="G259" s="3">
        <v>237020</v>
      </c>
    </row>
    <row r="260" spans="1:7">
      <c r="A260" s="3" t="s">
        <v>319</v>
      </c>
      <c r="B260" s="3" t="s">
        <v>44</v>
      </c>
      <c r="C260" s="3" t="s">
        <v>24</v>
      </c>
      <c r="D260" s="3" t="s">
        <v>51</v>
      </c>
      <c r="E260" s="3">
        <v>3</v>
      </c>
      <c r="F260" s="3">
        <v>2</v>
      </c>
      <c r="G260" s="3">
        <v>155621</v>
      </c>
    </row>
    <row r="261" spans="1:7">
      <c r="A261" s="3" t="s">
        <v>320</v>
      </c>
      <c r="B261" s="3" t="s">
        <v>44</v>
      </c>
      <c r="C261" s="3" t="s">
        <v>24</v>
      </c>
      <c r="D261" s="3" t="s">
        <v>51</v>
      </c>
      <c r="E261" s="3">
        <v>3</v>
      </c>
      <c r="F261" s="3">
        <v>3</v>
      </c>
      <c r="G261" s="3">
        <v>182265</v>
      </c>
    </row>
    <row r="262" spans="1:7">
      <c r="A262" s="3" t="s">
        <v>321</v>
      </c>
      <c r="B262" s="3" t="s">
        <v>44</v>
      </c>
      <c r="C262" s="3" t="s">
        <v>24</v>
      </c>
      <c r="D262" s="3" t="s">
        <v>51</v>
      </c>
      <c r="E262" s="3">
        <v>5</v>
      </c>
      <c r="F262" s="3">
        <v>4</v>
      </c>
      <c r="G262" s="3">
        <v>221259</v>
      </c>
    </row>
    <row r="263" spans="1:7">
      <c r="A263" s="3" t="s">
        <v>322</v>
      </c>
      <c r="B263" s="3" t="s">
        <v>44</v>
      </c>
      <c r="C263" s="3" t="s">
        <v>24</v>
      </c>
      <c r="D263" s="3" t="s">
        <v>51</v>
      </c>
      <c r="E263" s="3">
        <v>2</v>
      </c>
      <c r="F263" s="3">
        <v>1</v>
      </c>
      <c r="G263" s="3">
        <v>86155</v>
      </c>
    </row>
    <row r="264" spans="1:7">
      <c r="A264" s="3" t="s">
        <v>323</v>
      </c>
      <c r="B264" s="3" t="s">
        <v>44</v>
      </c>
      <c r="C264" s="3" t="s">
        <v>24</v>
      </c>
      <c r="D264" s="3" t="s">
        <v>51</v>
      </c>
      <c r="E264" s="3">
        <v>4</v>
      </c>
      <c r="F264" s="3">
        <v>3</v>
      </c>
      <c r="G264" s="3">
        <v>209103</v>
      </c>
    </row>
    <row r="265" spans="1:7">
      <c r="A265" s="3" t="s">
        <v>324</v>
      </c>
      <c r="B265" s="3" t="s">
        <v>44</v>
      </c>
      <c r="C265" s="3" t="s">
        <v>24</v>
      </c>
      <c r="D265" s="3" t="s">
        <v>110</v>
      </c>
      <c r="E265" s="3">
        <v>3</v>
      </c>
      <c r="F265" s="3">
        <v>3</v>
      </c>
      <c r="G265" s="3">
        <v>144696</v>
      </c>
    </row>
    <row r="266" spans="1:7">
      <c r="A266" s="3" t="s">
        <v>325</v>
      </c>
      <c r="B266" s="3" t="s">
        <v>44</v>
      </c>
      <c r="C266" s="3" t="s">
        <v>24</v>
      </c>
      <c r="D266" s="3" t="s">
        <v>57</v>
      </c>
      <c r="E266" s="3">
        <v>5</v>
      </c>
      <c r="F266" s="3">
        <v>3</v>
      </c>
      <c r="G266" s="3">
        <v>258708</v>
      </c>
    </row>
    <row r="267" spans="1:7">
      <c r="A267" s="3" t="s">
        <v>326</v>
      </c>
      <c r="B267" s="3" t="s">
        <v>44</v>
      </c>
      <c r="C267" s="3" t="s">
        <v>24</v>
      </c>
      <c r="D267" s="3" t="s">
        <v>67</v>
      </c>
      <c r="E267" s="3">
        <v>5</v>
      </c>
      <c r="F267" s="3">
        <v>5</v>
      </c>
      <c r="G267" s="3">
        <v>262425</v>
      </c>
    </row>
    <row r="268" spans="1:7">
      <c r="A268" s="3" t="s">
        <v>327</v>
      </c>
      <c r="B268" s="3" t="s">
        <v>44</v>
      </c>
      <c r="C268" s="3" t="s">
        <v>24</v>
      </c>
      <c r="D268" s="3" t="s">
        <v>51</v>
      </c>
      <c r="E268" s="3">
        <v>4</v>
      </c>
      <c r="F268" s="3">
        <v>4</v>
      </c>
      <c r="G268" s="3">
        <v>207104</v>
      </c>
    </row>
    <row r="269" spans="1:7">
      <c r="A269" s="3" t="s">
        <v>328</v>
      </c>
      <c r="B269" s="3" t="s">
        <v>44</v>
      </c>
      <c r="C269" s="3" t="s">
        <v>24</v>
      </c>
      <c r="D269" s="3" t="s">
        <v>67</v>
      </c>
      <c r="E269" s="3">
        <v>5</v>
      </c>
      <c r="F269" s="3">
        <v>5</v>
      </c>
      <c r="G269" s="3">
        <v>273290</v>
      </c>
    </row>
    <row r="270" spans="1:7">
      <c r="A270" s="3" t="s">
        <v>329</v>
      </c>
      <c r="B270" s="3" t="s">
        <v>44</v>
      </c>
      <c r="C270" s="3" t="s">
        <v>24</v>
      </c>
      <c r="D270" s="3" t="s">
        <v>261</v>
      </c>
      <c r="E270" s="3">
        <v>2</v>
      </c>
      <c r="F270" s="3">
        <v>2</v>
      </c>
      <c r="G270" s="3">
        <v>117536</v>
      </c>
    </row>
    <row r="271" spans="1:7">
      <c r="A271" s="3" t="s">
        <v>330</v>
      </c>
      <c r="B271" s="3" t="s">
        <v>44</v>
      </c>
      <c r="C271" s="3" t="s">
        <v>24</v>
      </c>
      <c r="D271" s="3" t="s">
        <v>65</v>
      </c>
      <c r="E271" s="3">
        <v>4</v>
      </c>
      <c r="F271" s="3">
        <v>3</v>
      </c>
      <c r="G271" s="3">
        <v>216972</v>
      </c>
    </row>
    <row r="272" spans="1:7">
      <c r="A272" s="3" t="s">
        <v>331</v>
      </c>
      <c r="B272" s="3" t="s">
        <v>44</v>
      </c>
      <c r="C272" s="3" t="s">
        <v>24</v>
      </c>
      <c r="D272" s="3" t="s">
        <v>165</v>
      </c>
      <c r="E272" s="3">
        <v>3</v>
      </c>
      <c r="F272" s="3">
        <v>1</v>
      </c>
      <c r="G272" s="3">
        <v>119123</v>
      </c>
    </row>
    <row r="273" spans="1:7">
      <c r="A273" s="3" t="s">
        <v>332</v>
      </c>
      <c r="B273" s="3" t="s">
        <v>44</v>
      </c>
      <c r="C273" s="3" t="s">
        <v>24</v>
      </c>
      <c r="D273" s="3" t="s">
        <v>165</v>
      </c>
      <c r="E273" s="3">
        <v>3</v>
      </c>
      <c r="F273" s="3">
        <v>1</v>
      </c>
      <c r="G273" s="3">
        <v>133488</v>
      </c>
    </row>
    <row r="274" spans="1:7">
      <c r="A274" s="3" t="s">
        <v>333</v>
      </c>
      <c r="B274" s="3" t="s">
        <v>44</v>
      </c>
      <c r="C274" s="3" t="s">
        <v>24</v>
      </c>
      <c r="D274" s="3" t="s">
        <v>165</v>
      </c>
      <c r="E274" s="3">
        <v>4</v>
      </c>
      <c r="F274" s="3">
        <v>1</v>
      </c>
      <c r="G274" s="3">
        <v>159857</v>
      </c>
    </row>
    <row r="275" spans="1:7">
      <c r="A275" s="3" t="s">
        <v>334</v>
      </c>
      <c r="B275" s="3" t="s">
        <v>44</v>
      </c>
      <c r="C275" s="3" t="s">
        <v>24</v>
      </c>
      <c r="D275" s="3" t="s">
        <v>67</v>
      </c>
      <c r="E275" s="3">
        <v>2</v>
      </c>
      <c r="F275" s="3">
        <v>2</v>
      </c>
      <c r="G275" s="3">
        <v>112124</v>
      </c>
    </row>
    <row r="276" spans="1:7">
      <c r="A276" s="3" t="s">
        <v>335</v>
      </c>
      <c r="B276" s="3" t="s">
        <v>44</v>
      </c>
      <c r="C276" s="3" t="s">
        <v>24</v>
      </c>
      <c r="D276" s="3" t="s">
        <v>67</v>
      </c>
      <c r="E276" s="3">
        <v>5</v>
      </c>
      <c r="F276" s="3">
        <v>1</v>
      </c>
      <c r="G276" s="3">
        <v>159974</v>
      </c>
    </row>
    <row r="277" spans="1:7">
      <c r="A277" s="3" t="s">
        <v>336</v>
      </c>
      <c r="B277" s="3" t="s">
        <v>44</v>
      </c>
      <c r="C277" s="3" t="s">
        <v>24</v>
      </c>
      <c r="D277" s="3" t="s">
        <v>337</v>
      </c>
      <c r="E277" s="3">
        <v>4</v>
      </c>
      <c r="F277" s="3">
        <v>4</v>
      </c>
      <c r="G277" s="3">
        <v>203264</v>
      </c>
    </row>
    <row r="278" spans="1:7">
      <c r="A278" s="3" t="s">
        <v>338</v>
      </c>
      <c r="B278" s="3" t="s">
        <v>44</v>
      </c>
      <c r="C278" s="3" t="s">
        <v>24</v>
      </c>
      <c r="D278" s="3" t="s">
        <v>59</v>
      </c>
      <c r="E278" s="3">
        <v>3</v>
      </c>
      <c r="F278" s="3">
        <v>1</v>
      </c>
      <c r="G278" s="3">
        <v>137950</v>
      </c>
    </row>
    <row r="279" spans="1:7">
      <c r="A279" s="3" t="s">
        <v>339</v>
      </c>
      <c r="B279" s="3" t="s">
        <v>44</v>
      </c>
      <c r="C279" s="3" t="s">
        <v>24</v>
      </c>
      <c r="D279" s="3" t="s">
        <v>65</v>
      </c>
      <c r="E279" s="3">
        <v>2</v>
      </c>
      <c r="F279" s="3">
        <v>1</v>
      </c>
      <c r="G279" s="3">
        <v>98197</v>
      </c>
    </row>
    <row r="280" spans="1:7">
      <c r="A280" s="3" t="s">
        <v>340</v>
      </c>
      <c r="B280" s="3" t="s">
        <v>44</v>
      </c>
      <c r="C280" s="3" t="s">
        <v>24</v>
      </c>
      <c r="D280" s="3" t="s">
        <v>59</v>
      </c>
      <c r="E280" s="3">
        <v>3</v>
      </c>
      <c r="F280" s="3">
        <v>2</v>
      </c>
      <c r="G280" s="3">
        <v>143198</v>
      </c>
    </row>
    <row r="281" spans="1:7">
      <c r="A281" s="3" t="s">
        <v>341</v>
      </c>
      <c r="B281" s="3" t="s">
        <v>44</v>
      </c>
      <c r="C281" s="3" t="s">
        <v>24</v>
      </c>
      <c r="D281" s="3" t="s">
        <v>65</v>
      </c>
      <c r="E281" s="3">
        <v>2</v>
      </c>
      <c r="F281" s="3">
        <v>1</v>
      </c>
      <c r="G281" s="3">
        <v>93961</v>
      </c>
    </row>
    <row r="282" spans="1:7">
      <c r="A282" s="3" t="s">
        <v>342</v>
      </c>
      <c r="B282" s="3" t="s">
        <v>44</v>
      </c>
      <c r="C282" s="3" t="s">
        <v>24</v>
      </c>
      <c r="D282" s="3" t="s">
        <v>67</v>
      </c>
      <c r="E282" s="3">
        <v>4</v>
      </c>
      <c r="F282" s="3">
        <v>2</v>
      </c>
      <c r="G282" s="3">
        <v>196020</v>
      </c>
    </row>
    <row r="283" spans="1:7">
      <c r="A283" s="3" t="s">
        <v>343</v>
      </c>
      <c r="B283" s="3" t="s">
        <v>44</v>
      </c>
      <c r="C283" s="3" t="s">
        <v>24</v>
      </c>
      <c r="D283" s="3" t="s">
        <v>165</v>
      </c>
      <c r="E283" s="3">
        <v>5</v>
      </c>
      <c r="F283" s="3">
        <v>2</v>
      </c>
      <c r="G283" s="3">
        <v>188736</v>
      </c>
    </row>
    <row r="284" spans="1:7">
      <c r="A284" s="3" t="s">
        <v>344</v>
      </c>
      <c r="B284" s="3" t="s">
        <v>44</v>
      </c>
      <c r="C284" s="3" t="s">
        <v>24</v>
      </c>
      <c r="D284" s="3" t="s">
        <v>110</v>
      </c>
      <c r="E284" s="3">
        <v>2</v>
      </c>
      <c r="F284" s="3">
        <v>1</v>
      </c>
      <c r="G284" s="3">
        <v>75391</v>
      </c>
    </row>
    <row r="285" spans="1:7">
      <c r="A285" s="3" t="s">
        <v>344</v>
      </c>
      <c r="B285" s="3" t="s">
        <v>44</v>
      </c>
      <c r="C285" s="3" t="s">
        <v>24</v>
      </c>
      <c r="D285" s="3" t="s">
        <v>110</v>
      </c>
      <c r="E285" s="3">
        <v>3</v>
      </c>
      <c r="F285" s="3">
        <v>2</v>
      </c>
      <c r="G285" s="3">
        <v>158627</v>
      </c>
    </row>
    <row r="286" spans="1:7">
      <c r="A286" s="3" t="s">
        <v>345</v>
      </c>
      <c r="B286" s="3" t="s">
        <v>44</v>
      </c>
      <c r="C286" s="3" t="s">
        <v>24</v>
      </c>
      <c r="D286" s="3" t="s">
        <v>110</v>
      </c>
      <c r="E286" s="3">
        <v>5</v>
      </c>
      <c r="F286" s="3">
        <v>2</v>
      </c>
      <c r="G286" s="3">
        <v>233774</v>
      </c>
    </row>
    <row r="287" spans="1:7">
      <c r="A287" s="3" t="s">
        <v>346</v>
      </c>
      <c r="B287" s="3" t="s">
        <v>44</v>
      </c>
      <c r="C287" s="3" t="s">
        <v>24</v>
      </c>
      <c r="D287" s="3" t="s">
        <v>67</v>
      </c>
      <c r="E287" s="3">
        <v>3</v>
      </c>
      <c r="F287" s="3">
        <v>2</v>
      </c>
      <c r="G287" s="3">
        <v>130199</v>
      </c>
    </row>
    <row r="288" spans="1:7">
      <c r="A288" s="3" t="s">
        <v>347</v>
      </c>
      <c r="B288" s="3" t="s">
        <v>44</v>
      </c>
      <c r="C288" s="3" t="s">
        <v>24</v>
      </c>
      <c r="D288" s="3" t="s">
        <v>348</v>
      </c>
      <c r="E288" s="3">
        <v>4</v>
      </c>
      <c r="F288" s="3">
        <v>3</v>
      </c>
      <c r="G288" s="3">
        <v>186758</v>
      </c>
    </row>
    <row r="289" spans="1:7">
      <c r="A289" s="3" t="s">
        <v>349</v>
      </c>
      <c r="B289" s="3" t="s">
        <v>44</v>
      </c>
      <c r="C289" s="3" t="s">
        <v>24</v>
      </c>
      <c r="D289" s="3" t="s">
        <v>65</v>
      </c>
      <c r="E289" s="3">
        <v>4</v>
      </c>
      <c r="F289" s="3">
        <v>2</v>
      </c>
      <c r="G289" s="3">
        <v>164078</v>
      </c>
    </row>
    <row r="290" spans="1:7">
      <c r="A290" s="3" t="s">
        <v>350</v>
      </c>
      <c r="B290" s="3" t="s">
        <v>44</v>
      </c>
      <c r="C290" s="3" t="s">
        <v>24</v>
      </c>
      <c r="D290" s="3" t="s">
        <v>67</v>
      </c>
      <c r="E290" s="3">
        <v>2</v>
      </c>
      <c r="F290" s="3">
        <v>2</v>
      </c>
      <c r="G290" s="3">
        <v>103964</v>
      </c>
    </row>
    <row r="291" spans="1:7">
      <c r="A291" s="3" t="s">
        <v>351</v>
      </c>
      <c r="B291" s="3" t="s">
        <v>44</v>
      </c>
      <c r="C291" s="3" t="s">
        <v>24</v>
      </c>
      <c r="D291" s="3" t="s">
        <v>110</v>
      </c>
      <c r="E291" s="3">
        <v>3</v>
      </c>
      <c r="F291" s="3">
        <v>1</v>
      </c>
      <c r="G291" s="3">
        <v>114350</v>
      </c>
    </row>
    <row r="292" spans="1:7">
      <c r="A292" s="3" t="s">
        <v>352</v>
      </c>
      <c r="B292" s="3" t="s">
        <v>44</v>
      </c>
      <c r="C292" s="3" t="s">
        <v>24</v>
      </c>
      <c r="D292" s="3" t="s">
        <v>57</v>
      </c>
      <c r="E292" s="3">
        <v>4</v>
      </c>
      <c r="F292" s="3">
        <v>4</v>
      </c>
      <c r="G292" s="3">
        <v>223924</v>
      </c>
    </row>
    <row r="293" spans="1:7">
      <c r="A293" s="3" t="s">
        <v>353</v>
      </c>
      <c r="B293" s="3" t="s">
        <v>44</v>
      </c>
      <c r="C293" s="3" t="s">
        <v>24</v>
      </c>
      <c r="D293" s="3" t="s">
        <v>59</v>
      </c>
      <c r="E293" s="3">
        <v>4</v>
      </c>
      <c r="F293" s="3">
        <v>4</v>
      </c>
      <c r="G293" s="3">
        <v>204024</v>
      </c>
    </row>
    <row r="294" spans="1:7">
      <c r="A294" s="3" t="s">
        <v>354</v>
      </c>
      <c r="B294" s="3" t="s">
        <v>44</v>
      </c>
      <c r="C294" s="3" t="s">
        <v>24</v>
      </c>
      <c r="D294" s="3" t="s">
        <v>110</v>
      </c>
      <c r="E294" s="3">
        <v>2</v>
      </c>
      <c r="F294" s="3">
        <v>1</v>
      </c>
      <c r="G294" s="3">
        <v>89533</v>
      </c>
    </row>
    <row r="295" spans="1:7">
      <c r="A295" s="3" t="s">
        <v>355</v>
      </c>
      <c r="B295" s="3" t="s">
        <v>44</v>
      </c>
      <c r="C295" s="3" t="s">
        <v>24</v>
      </c>
      <c r="D295" s="3" t="s">
        <v>165</v>
      </c>
      <c r="E295" s="3">
        <v>5</v>
      </c>
      <c r="F295" s="3">
        <v>4</v>
      </c>
      <c r="G295" s="3">
        <v>270476</v>
      </c>
    </row>
    <row r="296" spans="1:7">
      <c r="A296" s="3" t="s">
        <v>356</v>
      </c>
      <c r="B296" s="3" t="s">
        <v>44</v>
      </c>
      <c r="C296" s="3" t="s">
        <v>24</v>
      </c>
      <c r="D296" s="3" t="s">
        <v>165</v>
      </c>
      <c r="E296" s="3">
        <v>5</v>
      </c>
      <c r="F296" s="3">
        <v>1</v>
      </c>
      <c r="G296" s="3">
        <v>202216</v>
      </c>
    </row>
    <row r="297" spans="1:7">
      <c r="A297" s="3" t="s">
        <v>357</v>
      </c>
      <c r="B297" s="3" t="s">
        <v>44</v>
      </c>
      <c r="C297" s="3" t="s">
        <v>24</v>
      </c>
      <c r="D297" s="3" t="s">
        <v>165</v>
      </c>
      <c r="E297" s="3">
        <v>2</v>
      </c>
      <c r="F297" s="3">
        <v>2</v>
      </c>
      <c r="G297" s="3">
        <v>102666</v>
      </c>
    </row>
    <row r="298" spans="1:7">
      <c r="A298" s="3" t="s">
        <v>358</v>
      </c>
      <c r="B298" s="3" t="s">
        <v>44</v>
      </c>
      <c r="C298" s="3" t="s">
        <v>24</v>
      </c>
      <c r="D298" s="3" t="s">
        <v>165</v>
      </c>
      <c r="E298" s="3">
        <v>4</v>
      </c>
      <c r="F298" s="3">
        <v>3</v>
      </c>
      <c r="G298" s="3">
        <v>162536</v>
      </c>
    </row>
    <row r="299" spans="1:7">
      <c r="A299" s="3" t="s">
        <v>359</v>
      </c>
      <c r="B299" s="3" t="s">
        <v>44</v>
      </c>
      <c r="C299" s="3" t="s">
        <v>24</v>
      </c>
      <c r="D299" s="3" t="s">
        <v>76</v>
      </c>
      <c r="E299" s="3">
        <v>2</v>
      </c>
      <c r="F299" s="3">
        <v>2</v>
      </c>
      <c r="G299" s="3">
        <v>108054</v>
      </c>
    </row>
    <row r="300" spans="1:7">
      <c r="A300" s="3" t="s">
        <v>360</v>
      </c>
      <c r="B300" s="3" t="s">
        <v>44</v>
      </c>
      <c r="C300" s="3" t="s">
        <v>24</v>
      </c>
      <c r="D300" s="3" t="s">
        <v>165</v>
      </c>
      <c r="E300" s="3">
        <v>5</v>
      </c>
      <c r="F300" s="3">
        <v>2</v>
      </c>
      <c r="G300" s="3">
        <v>181700</v>
      </c>
    </row>
    <row r="301" spans="1:7">
      <c r="A301" s="3" t="s">
        <v>361</v>
      </c>
      <c r="B301" s="3" t="s">
        <v>44</v>
      </c>
      <c r="C301" s="3" t="s">
        <v>24</v>
      </c>
      <c r="D301" s="3" t="s">
        <v>362</v>
      </c>
      <c r="E301" s="3">
        <v>5</v>
      </c>
      <c r="F301" s="3">
        <v>4</v>
      </c>
      <c r="G301" s="3">
        <v>270417</v>
      </c>
    </row>
    <row r="302" spans="1:7">
      <c r="A302" s="3" t="s">
        <v>363</v>
      </c>
      <c r="B302" s="3" t="s">
        <v>44</v>
      </c>
      <c r="C302" s="3" t="s">
        <v>24</v>
      </c>
      <c r="D302" s="3" t="s">
        <v>67</v>
      </c>
      <c r="E302" s="3">
        <v>5</v>
      </c>
      <c r="F302" s="3">
        <v>4</v>
      </c>
      <c r="G302" s="3">
        <v>258053</v>
      </c>
    </row>
    <row r="303" spans="1:7">
      <c r="A303" s="3" t="s">
        <v>364</v>
      </c>
      <c r="B303" s="3" t="s">
        <v>44</v>
      </c>
      <c r="C303" s="3" t="s">
        <v>24</v>
      </c>
      <c r="D303" s="3" t="s">
        <v>165</v>
      </c>
      <c r="E303" s="3">
        <v>5</v>
      </c>
      <c r="F303" s="3">
        <v>1</v>
      </c>
      <c r="G303" s="3">
        <v>165991</v>
      </c>
    </row>
    <row r="304" spans="1:7">
      <c r="A304" s="3" t="s">
        <v>365</v>
      </c>
      <c r="B304" s="3" t="s">
        <v>44</v>
      </c>
      <c r="C304" s="3" t="s">
        <v>24</v>
      </c>
      <c r="D304" s="3" t="s">
        <v>79</v>
      </c>
      <c r="E304" s="3">
        <v>2</v>
      </c>
      <c r="F304" s="3">
        <v>1</v>
      </c>
      <c r="G304" s="3">
        <v>72408</v>
      </c>
    </row>
    <row r="305" spans="1:7">
      <c r="A305" s="3" t="s">
        <v>366</v>
      </c>
      <c r="B305" s="3" t="s">
        <v>44</v>
      </c>
      <c r="C305" s="3" t="s">
        <v>24</v>
      </c>
      <c r="D305" s="3" t="s">
        <v>67</v>
      </c>
      <c r="E305" s="3">
        <v>4</v>
      </c>
      <c r="F305" s="3">
        <v>2</v>
      </c>
      <c r="G305" s="3">
        <v>169100</v>
      </c>
    </row>
    <row r="306" spans="1:7">
      <c r="A306" s="3" t="s">
        <v>367</v>
      </c>
      <c r="B306" s="3" t="s">
        <v>44</v>
      </c>
      <c r="C306" s="3" t="s">
        <v>24</v>
      </c>
      <c r="D306" s="3" t="s">
        <v>171</v>
      </c>
      <c r="E306" s="3">
        <v>5</v>
      </c>
      <c r="F306" s="3">
        <v>2</v>
      </c>
      <c r="G306" s="3">
        <v>209249</v>
      </c>
    </row>
    <row r="307" spans="1:7">
      <c r="A307" s="3" t="s">
        <v>368</v>
      </c>
      <c r="B307" s="3" t="s">
        <v>44</v>
      </c>
      <c r="C307" s="3" t="s">
        <v>24</v>
      </c>
      <c r="D307" s="3" t="s">
        <v>103</v>
      </c>
      <c r="E307" s="3">
        <v>3</v>
      </c>
      <c r="F307" s="3">
        <v>3</v>
      </c>
      <c r="G307" s="3">
        <v>175947</v>
      </c>
    </row>
    <row r="308" spans="1:7">
      <c r="A308" s="3" t="s">
        <v>369</v>
      </c>
      <c r="B308" s="3" t="s">
        <v>44</v>
      </c>
      <c r="C308" s="3" t="s">
        <v>24</v>
      </c>
      <c r="D308" s="3" t="s">
        <v>362</v>
      </c>
      <c r="E308" s="3">
        <v>5</v>
      </c>
      <c r="F308" s="3">
        <v>5</v>
      </c>
      <c r="G308" s="3">
        <v>232470</v>
      </c>
    </row>
    <row r="309" spans="1:7">
      <c r="A309" s="3" t="s">
        <v>370</v>
      </c>
      <c r="B309" s="3" t="s">
        <v>44</v>
      </c>
      <c r="C309" s="3" t="s">
        <v>24</v>
      </c>
      <c r="D309" s="3" t="s">
        <v>110</v>
      </c>
      <c r="E309" s="3">
        <v>5</v>
      </c>
      <c r="F309" s="3">
        <v>1</v>
      </c>
      <c r="G309" s="3">
        <v>151717</v>
      </c>
    </row>
    <row r="310" spans="1:7">
      <c r="A310" s="3" t="s">
        <v>371</v>
      </c>
      <c r="B310" s="3" t="s">
        <v>44</v>
      </c>
      <c r="C310" s="3" t="s">
        <v>24</v>
      </c>
      <c r="D310" s="3" t="s">
        <v>65</v>
      </c>
      <c r="E310" s="3">
        <v>3</v>
      </c>
      <c r="F310" s="3">
        <v>3</v>
      </c>
      <c r="G310" s="3">
        <v>170385</v>
      </c>
    </row>
    <row r="311" spans="1:7">
      <c r="A311" s="3" t="s">
        <v>372</v>
      </c>
      <c r="B311" s="3" t="s">
        <v>44</v>
      </c>
      <c r="C311" s="3" t="s">
        <v>24</v>
      </c>
      <c r="D311" s="3" t="s">
        <v>51</v>
      </c>
      <c r="E311" s="3">
        <v>5</v>
      </c>
      <c r="F311" s="3">
        <v>3</v>
      </c>
      <c r="G311" s="3">
        <v>193482</v>
      </c>
    </row>
    <row r="312" spans="1:7">
      <c r="A312" s="3" t="s">
        <v>373</v>
      </c>
      <c r="B312" s="3" t="s">
        <v>44</v>
      </c>
      <c r="C312" s="3" t="s">
        <v>24</v>
      </c>
      <c r="D312" s="3" t="s">
        <v>79</v>
      </c>
      <c r="E312" s="3">
        <v>3</v>
      </c>
      <c r="F312" s="3">
        <v>3</v>
      </c>
      <c r="G312" s="3">
        <v>165222</v>
      </c>
    </row>
    <row r="313" spans="1:7">
      <c r="A313" s="3" t="s">
        <v>374</v>
      </c>
      <c r="B313" s="3" t="s">
        <v>44</v>
      </c>
      <c r="C313" s="3" t="s">
        <v>24</v>
      </c>
      <c r="D313" s="3" t="s">
        <v>103</v>
      </c>
      <c r="E313" s="3">
        <v>4</v>
      </c>
      <c r="F313" s="3">
        <v>3</v>
      </c>
      <c r="G313" s="3">
        <v>180283</v>
      </c>
    </row>
    <row r="314" spans="1:7">
      <c r="A314" s="3" t="s">
        <v>375</v>
      </c>
      <c r="B314" s="3" t="s">
        <v>44</v>
      </c>
      <c r="C314" s="3" t="s">
        <v>24</v>
      </c>
      <c r="D314" s="3" t="s">
        <v>51</v>
      </c>
      <c r="E314" s="3">
        <v>5</v>
      </c>
      <c r="F314" s="3">
        <v>1</v>
      </c>
      <c r="G314" s="3">
        <v>205331</v>
      </c>
    </row>
    <row r="315" spans="1:7">
      <c r="A315" s="3" t="s">
        <v>376</v>
      </c>
      <c r="B315" s="3" t="s">
        <v>44</v>
      </c>
      <c r="C315" s="3" t="s">
        <v>24</v>
      </c>
      <c r="D315" s="3" t="s">
        <v>171</v>
      </c>
      <c r="E315" s="3">
        <v>4</v>
      </c>
      <c r="F315" s="3">
        <v>3</v>
      </c>
      <c r="G315" s="3">
        <v>201019</v>
      </c>
    </row>
    <row r="316" spans="1:7">
      <c r="A316" s="3" t="s">
        <v>377</v>
      </c>
      <c r="B316" s="3" t="s">
        <v>44</v>
      </c>
      <c r="C316" s="3" t="s">
        <v>24</v>
      </c>
      <c r="D316" s="3" t="s">
        <v>59</v>
      </c>
      <c r="E316" s="3">
        <v>2</v>
      </c>
      <c r="F316" s="3">
        <v>2</v>
      </c>
      <c r="G316" s="3">
        <v>118154</v>
      </c>
    </row>
    <row r="317" spans="1:7">
      <c r="A317" s="3" t="s">
        <v>378</v>
      </c>
      <c r="B317" s="3" t="s">
        <v>44</v>
      </c>
      <c r="C317" s="3" t="s">
        <v>24</v>
      </c>
      <c r="D317" s="3" t="s">
        <v>59</v>
      </c>
      <c r="E317" s="3">
        <v>4</v>
      </c>
      <c r="F317" s="3">
        <v>3</v>
      </c>
      <c r="G317" s="3">
        <v>185332</v>
      </c>
    </row>
    <row r="318" spans="1:7">
      <c r="A318" s="3" t="s">
        <v>379</v>
      </c>
      <c r="B318" s="3" t="s">
        <v>44</v>
      </c>
      <c r="C318" s="3" t="s">
        <v>24</v>
      </c>
      <c r="D318" s="3" t="s">
        <v>57</v>
      </c>
      <c r="E318" s="3">
        <v>4</v>
      </c>
      <c r="F318" s="3">
        <v>4</v>
      </c>
      <c r="G318" s="3">
        <v>182284</v>
      </c>
    </row>
    <row r="319" spans="1:7">
      <c r="A319" s="3" t="s">
        <v>380</v>
      </c>
      <c r="B319" s="3" t="s">
        <v>44</v>
      </c>
      <c r="C319" s="3" t="s">
        <v>24</v>
      </c>
      <c r="D319" s="3" t="s">
        <v>81</v>
      </c>
      <c r="E319" s="3">
        <v>5</v>
      </c>
      <c r="F319" s="3">
        <v>1</v>
      </c>
      <c r="G319" s="3">
        <v>182358</v>
      </c>
    </row>
    <row r="320" spans="1:7">
      <c r="A320" s="3" t="s">
        <v>381</v>
      </c>
      <c r="B320" s="3" t="s">
        <v>44</v>
      </c>
      <c r="C320" s="3" t="s">
        <v>24</v>
      </c>
      <c r="D320" s="3" t="s">
        <v>362</v>
      </c>
      <c r="E320" s="3">
        <v>3</v>
      </c>
      <c r="F320" s="3">
        <v>3</v>
      </c>
      <c r="G320" s="3">
        <v>152613</v>
      </c>
    </row>
    <row r="321" spans="1:7">
      <c r="A321" s="3" t="s">
        <v>382</v>
      </c>
      <c r="B321" s="3" t="s">
        <v>44</v>
      </c>
      <c r="C321" s="3" t="s">
        <v>24</v>
      </c>
      <c r="D321" s="3" t="s">
        <v>110</v>
      </c>
      <c r="E321" s="3">
        <v>5</v>
      </c>
      <c r="F321" s="3">
        <v>4</v>
      </c>
      <c r="G321" s="3">
        <v>221361</v>
      </c>
    </row>
    <row r="322" spans="1:7">
      <c r="A322" s="3" t="s">
        <v>383</v>
      </c>
      <c r="B322" s="3" t="s">
        <v>44</v>
      </c>
      <c r="C322" s="3" t="s">
        <v>24</v>
      </c>
      <c r="D322" s="3" t="s">
        <v>59</v>
      </c>
      <c r="E322" s="3">
        <v>3</v>
      </c>
      <c r="F322" s="3">
        <v>3</v>
      </c>
      <c r="G322" s="3">
        <v>171534</v>
      </c>
    </row>
    <row r="323" spans="1:7">
      <c r="A323" s="3" t="s">
        <v>384</v>
      </c>
      <c r="B323" s="3" t="s">
        <v>44</v>
      </c>
      <c r="C323" s="3" t="s">
        <v>24</v>
      </c>
      <c r="D323" s="3" t="s">
        <v>59</v>
      </c>
      <c r="E323" s="3">
        <v>3</v>
      </c>
      <c r="F323" s="3">
        <v>2</v>
      </c>
      <c r="G323" s="3">
        <v>134998</v>
      </c>
    </row>
    <row r="324" spans="1:7">
      <c r="A324" s="3" t="s">
        <v>385</v>
      </c>
      <c r="B324" s="3" t="s">
        <v>44</v>
      </c>
      <c r="C324" s="3" t="s">
        <v>24</v>
      </c>
      <c r="D324" s="3" t="s">
        <v>67</v>
      </c>
      <c r="E324" s="3">
        <v>3</v>
      </c>
      <c r="F324" s="3">
        <v>3</v>
      </c>
      <c r="G324" s="3">
        <v>157176</v>
      </c>
    </row>
    <row r="325" spans="1:7">
      <c r="A325" s="3" t="s">
        <v>386</v>
      </c>
      <c r="B325" s="3" t="s">
        <v>44</v>
      </c>
      <c r="C325" s="3" t="s">
        <v>24</v>
      </c>
      <c r="D325" s="3" t="s">
        <v>67</v>
      </c>
      <c r="E325" s="3">
        <v>2</v>
      </c>
      <c r="F325" s="3">
        <v>1</v>
      </c>
      <c r="G325" s="3">
        <v>98002</v>
      </c>
    </row>
    <row r="326" spans="1:7">
      <c r="A326" s="3" t="s">
        <v>387</v>
      </c>
      <c r="B326" s="3" t="s">
        <v>44</v>
      </c>
      <c r="C326" s="3" t="s">
        <v>24</v>
      </c>
      <c r="D326" s="3" t="s">
        <v>67</v>
      </c>
      <c r="E326" s="3">
        <v>5</v>
      </c>
      <c r="F326" s="3">
        <v>2</v>
      </c>
      <c r="G326" s="3">
        <v>214316</v>
      </c>
    </row>
    <row r="327" spans="1:7">
      <c r="A327" s="3" t="s">
        <v>388</v>
      </c>
      <c r="B327" s="3" t="s">
        <v>44</v>
      </c>
      <c r="C327" s="3" t="s">
        <v>24</v>
      </c>
      <c r="D327" s="3" t="s">
        <v>47</v>
      </c>
      <c r="E327" s="3">
        <v>2</v>
      </c>
      <c r="F327" s="3">
        <v>2</v>
      </c>
      <c r="G327" s="3">
        <v>114618</v>
      </c>
    </row>
    <row r="328" spans="1:7">
      <c r="A328" s="3" t="s">
        <v>389</v>
      </c>
      <c r="B328" s="3" t="s">
        <v>44</v>
      </c>
      <c r="C328" s="3" t="s">
        <v>24</v>
      </c>
      <c r="D328" s="3" t="s">
        <v>67</v>
      </c>
      <c r="E328" s="3">
        <v>4</v>
      </c>
      <c r="F328" s="3">
        <v>4</v>
      </c>
      <c r="G328" s="3">
        <v>206380</v>
      </c>
    </row>
    <row r="329" spans="1:7">
      <c r="A329" s="3" t="s">
        <v>390</v>
      </c>
      <c r="B329" s="3" t="s">
        <v>44</v>
      </c>
      <c r="C329" s="3" t="s">
        <v>24</v>
      </c>
      <c r="D329" s="3" t="s">
        <v>362</v>
      </c>
      <c r="E329" s="3">
        <v>2</v>
      </c>
      <c r="F329" s="3">
        <v>2</v>
      </c>
      <c r="G329" s="3">
        <v>91892</v>
      </c>
    </row>
    <row r="330" spans="1:7">
      <c r="A330" s="3" t="s">
        <v>391</v>
      </c>
      <c r="B330" s="3" t="s">
        <v>44</v>
      </c>
      <c r="C330" s="3" t="s">
        <v>24</v>
      </c>
      <c r="D330" s="3" t="s">
        <v>362</v>
      </c>
      <c r="E330" s="3">
        <v>2</v>
      </c>
      <c r="F330" s="3">
        <v>1</v>
      </c>
      <c r="G330" s="3">
        <v>82556</v>
      </c>
    </row>
    <row r="331" spans="1:7">
      <c r="A331" s="3" t="s">
        <v>392</v>
      </c>
      <c r="B331" s="3" t="s">
        <v>44</v>
      </c>
      <c r="C331" s="3" t="s">
        <v>24</v>
      </c>
      <c r="D331" s="3" t="s">
        <v>76</v>
      </c>
      <c r="E331" s="3">
        <v>5</v>
      </c>
      <c r="F331" s="3">
        <v>3</v>
      </c>
      <c r="G331" s="3">
        <v>227739</v>
      </c>
    </row>
    <row r="332" spans="1:7">
      <c r="A332" s="3" t="s">
        <v>393</v>
      </c>
      <c r="B332" s="3" t="s">
        <v>44</v>
      </c>
      <c r="C332" s="3" t="s">
        <v>24</v>
      </c>
      <c r="D332" s="3" t="s">
        <v>79</v>
      </c>
      <c r="E332" s="3">
        <v>2</v>
      </c>
      <c r="F332" s="3">
        <v>2</v>
      </c>
      <c r="G332" s="3">
        <v>98672</v>
      </c>
    </row>
    <row r="333" spans="1:7">
      <c r="A333" s="3" t="s">
        <v>394</v>
      </c>
      <c r="B333" s="3" t="s">
        <v>44</v>
      </c>
      <c r="C333" s="3" t="s">
        <v>24</v>
      </c>
      <c r="D333" s="3" t="s">
        <v>65</v>
      </c>
      <c r="E333" s="3">
        <v>3</v>
      </c>
      <c r="F333" s="3">
        <v>2</v>
      </c>
      <c r="G333" s="3">
        <v>148241</v>
      </c>
    </row>
    <row r="334" spans="1:7">
      <c r="A334" s="3" t="s">
        <v>395</v>
      </c>
      <c r="B334" s="3" t="s">
        <v>44</v>
      </c>
      <c r="C334" s="3" t="s">
        <v>24</v>
      </c>
      <c r="D334" s="3" t="s">
        <v>65</v>
      </c>
      <c r="E334" s="3">
        <v>4</v>
      </c>
      <c r="F334" s="3">
        <v>3</v>
      </c>
      <c r="G334" s="3">
        <v>212057</v>
      </c>
    </row>
    <row r="335" spans="1:7">
      <c r="A335" s="3" t="s">
        <v>396</v>
      </c>
      <c r="B335" s="3" t="s">
        <v>44</v>
      </c>
      <c r="C335" s="3" t="s">
        <v>24</v>
      </c>
      <c r="D335" s="3" t="s">
        <v>107</v>
      </c>
      <c r="E335" s="3">
        <v>3</v>
      </c>
      <c r="F335" s="3">
        <v>3</v>
      </c>
      <c r="G335" s="3">
        <v>156309</v>
      </c>
    </row>
    <row r="336" spans="1:7">
      <c r="A336" s="3" t="s">
        <v>397</v>
      </c>
      <c r="B336" s="3" t="s">
        <v>44</v>
      </c>
      <c r="C336" s="3" t="s">
        <v>24</v>
      </c>
      <c r="D336" s="3" t="s">
        <v>67</v>
      </c>
      <c r="E336" s="3">
        <v>4</v>
      </c>
      <c r="F336" s="3">
        <v>2</v>
      </c>
      <c r="G336" s="3">
        <v>153502</v>
      </c>
    </row>
    <row r="337" spans="1:7">
      <c r="A337" s="3" t="s">
        <v>398</v>
      </c>
      <c r="B337" s="3" t="s">
        <v>44</v>
      </c>
      <c r="C337" s="3" t="s">
        <v>24</v>
      </c>
      <c r="D337" s="3" t="s">
        <v>65</v>
      </c>
      <c r="E337" s="3">
        <v>4</v>
      </c>
      <c r="F337" s="3">
        <v>1</v>
      </c>
      <c r="G337" s="3">
        <v>172076</v>
      </c>
    </row>
    <row r="338" spans="1:7">
      <c r="A338" s="3" t="s">
        <v>399</v>
      </c>
      <c r="B338" s="3" t="s">
        <v>44</v>
      </c>
      <c r="C338" s="3" t="s">
        <v>24</v>
      </c>
      <c r="D338" s="3" t="s">
        <v>67</v>
      </c>
      <c r="E338" s="3">
        <v>3</v>
      </c>
      <c r="F338" s="3">
        <v>2</v>
      </c>
      <c r="G338" s="3">
        <v>128507</v>
      </c>
    </row>
    <row r="339" spans="1:7">
      <c r="A339" s="3" t="s">
        <v>400</v>
      </c>
      <c r="B339" s="3" t="s">
        <v>44</v>
      </c>
      <c r="C339" s="3" t="s">
        <v>24</v>
      </c>
      <c r="D339" s="3" t="s">
        <v>165</v>
      </c>
      <c r="E339" s="3">
        <v>5</v>
      </c>
      <c r="F339" s="3">
        <v>5</v>
      </c>
      <c r="G339" s="3">
        <v>279855</v>
      </c>
    </row>
    <row r="340" spans="1:7">
      <c r="A340" s="3" t="s">
        <v>401</v>
      </c>
      <c r="B340" s="3" t="s">
        <v>44</v>
      </c>
      <c r="C340" s="3" t="s">
        <v>24</v>
      </c>
      <c r="D340" s="3" t="s">
        <v>362</v>
      </c>
      <c r="E340" s="3">
        <v>3</v>
      </c>
      <c r="F340" s="3">
        <v>3</v>
      </c>
      <c r="G340" s="3">
        <v>150633</v>
      </c>
    </row>
    <row r="341" spans="1:7">
      <c r="A341" s="3" t="s">
        <v>401</v>
      </c>
      <c r="B341" s="3" t="s">
        <v>44</v>
      </c>
      <c r="C341" s="3" t="s">
        <v>24</v>
      </c>
      <c r="D341" s="3" t="s">
        <v>362</v>
      </c>
      <c r="E341" s="3">
        <v>2</v>
      </c>
      <c r="F341" s="3">
        <v>1</v>
      </c>
      <c r="G341" s="3">
        <v>84880</v>
      </c>
    </row>
    <row r="342" spans="1:7">
      <c r="A342" s="3" t="s">
        <v>402</v>
      </c>
      <c r="B342" s="3" t="s">
        <v>44</v>
      </c>
      <c r="C342" s="3" t="s">
        <v>24</v>
      </c>
      <c r="D342" s="3" t="s">
        <v>67</v>
      </c>
      <c r="E342" s="3">
        <v>2</v>
      </c>
      <c r="F342" s="3">
        <v>1</v>
      </c>
      <c r="G342" s="3">
        <v>78291</v>
      </c>
    </row>
    <row r="343" spans="1:7">
      <c r="A343" s="3" t="s">
        <v>403</v>
      </c>
      <c r="B343" s="3" t="s">
        <v>44</v>
      </c>
      <c r="C343" s="3" t="s">
        <v>24</v>
      </c>
      <c r="D343" s="3" t="s">
        <v>67</v>
      </c>
      <c r="E343" s="3">
        <v>3</v>
      </c>
      <c r="F343" s="3">
        <v>3</v>
      </c>
      <c r="G343" s="3">
        <v>153936</v>
      </c>
    </row>
    <row r="344" spans="1:7">
      <c r="A344" s="3" t="s">
        <v>404</v>
      </c>
      <c r="B344" s="3" t="s">
        <v>44</v>
      </c>
      <c r="C344" s="3" t="s">
        <v>24</v>
      </c>
      <c r="D344" s="3" t="s">
        <v>103</v>
      </c>
      <c r="E344" s="3">
        <v>4</v>
      </c>
      <c r="F344" s="3">
        <v>4</v>
      </c>
      <c r="G344" s="3">
        <v>191772</v>
      </c>
    </row>
    <row r="345" spans="1:7">
      <c r="A345" s="3" t="s">
        <v>405</v>
      </c>
      <c r="B345" s="3" t="s">
        <v>44</v>
      </c>
      <c r="C345" s="3" t="s">
        <v>24</v>
      </c>
      <c r="D345" s="3" t="s">
        <v>174</v>
      </c>
      <c r="E345" s="3">
        <v>2</v>
      </c>
      <c r="F345" s="3">
        <v>1</v>
      </c>
      <c r="G345" s="3">
        <v>91057</v>
      </c>
    </row>
    <row r="346" spans="1:7">
      <c r="A346" s="3" t="s">
        <v>406</v>
      </c>
      <c r="B346" s="3" t="s">
        <v>44</v>
      </c>
      <c r="C346" s="3" t="s">
        <v>24</v>
      </c>
      <c r="D346" s="3" t="s">
        <v>362</v>
      </c>
      <c r="E346" s="3">
        <v>3</v>
      </c>
      <c r="F346" s="3">
        <v>2</v>
      </c>
      <c r="G346" s="3">
        <v>161503</v>
      </c>
    </row>
    <row r="347" spans="1:7">
      <c r="A347" s="3" t="s">
        <v>407</v>
      </c>
      <c r="B347" s="3" t="s">
        <v>44</v>
      </c>
      <c r="C347" s="3" t="s">
        <v>24</v>
      </c>
      <c r="D347" s="3" t="s">
        <v>103</v>
      </c>
      <c r="E347" s="3">
        <v>4</v>
      </c>
      <c r="F347" s="3">
        <v>4</v>
      </c>
      <c r="G347" s="3">
        <v>205104</v>
      </c>
    </row>
    <row r="348" spans="1:7">
      <c r="A348" s="3" t="s">
        <v>408</v>
      </c>
      <c r="B348" s="3" t="s">
        <v>44</v>
      </c>
      <c r="C348" s="3" t="s">
        <v>24</v>
      </c>
      <c r="D348" s="3" t="s">
        <v>67</v>
      </c>
      <c r="E348" s="3">
        <v>2</v>
      </c>
      <c r="F348" s="3">
        <v>1</v>
      </c>
      <c r="G348" s="3">
        <v>89514</v>
      </c>
    </row>
    <row r="349" spans="1:7">
      <c r="A349" s="3" t="s">
        <v>409</v>
      </c>
      <c r="B349" s="3" t="s">
        <v>44</v>
      </c>
      <c r="C349" s="3" t="s">
        <v>24</v>
      </c>
      <c r="D349" s="3" t="s">
        <v>165</v>
      </c>
      <c r="E349" s="3">
        <v>3</v>
      </c>
      <c r="F349" s="3">
        <v>3</v>
      </c>
      <c r="G349" s="3">
        <v>144198</v>
      </c>
    </row>
    <row r="350" spans="1:7">
      <c r="A350" s="3" t="s">
        <v>410</v>
      </c>
      <c r="B350" s="3" t="s">
        <v>44</v>
      </c>
      <c r="C350" s="3" t="s">
        <v>24</v>
      </c>
      <c r="D350" s="3" t="s">
        <v>165</v>
      </c>
      <c r="E350" s="3">
        <v>4</v>
      </c>
      <c r="F350" s="3">
        <v>2</v>
      </c>
      <c r="G350" s="3">
        <v>163652</v>
      </c>
    </row>
    <row r="351" spans="1:7">
      <c r="A351" s="3" t="s">
        <v>411</v>
      </c>
      <c r="B351" s="3" t="s">
        <v>44</v>
      </c>
      <c r="C351" s="3" t="s">
        <v>24</v>
      </c>
      <c r="D351" s="3" t="s">
        <v>362</v>
      </c>
      <c r="E351" s="3">
        <v>4</v>
      </c>
      <c r="F351" s="3">
        <v>2</v>
      </c>
      <c r="G351" s="3">
        <v>146280</v>
      </c>
    </row>
    <row r="352" spans="1:7">
      <c r="A352" s="3" t="s">
        <v>412</v>
      </c>
      <c r="B352" s="3" t="s">
        <v>44</v>
      </c>
      <c r="C352" s="3" t="s">
        <v>24</v>
      </c>
      <c r="D352" s="3" t="s">
        <v>59</v>
      </c>
      <c r="E352" s="3">
        <v>4</v>
      </c>
      <c r="F352" s="3">
        <v>1</v>
      </c>
      <c r="G352" s="3">
        <v>155467</v>
      </c>
    </row>
    <row r="353" spans="1:7">
      <c r="A353" s="3" t="s">
        <v>413</v>
      </c>
      <c r="B353" s="3" t="s">
        <v>44</v>
      </c>
      <c r="C353" s="3" t="s">
        <v>24</v>
      </c>
      <c r="D353" s="3" t="s">
        <v>165</v>
      </c>
      <c r="E353" s="3">
        <v>4</v>
      </c>
      <c r="F353" s="3">
        <v>3</v>
      </c>
      <c r="G353" s="3">
        <v>203162</v>
      </c>
    </row>
    <row r="354" spans="1:7">
      <c r="A354" s="3" t="s">
        <v>414</v>
      </c>
      <c r="B354" s="3" t="s">
        <v>44</v>
      </c>
      <c r="C354" s="3" t="s">
        <v>24</v>
      </c>
      <c r="D354" s="3" t="s">
        <v>165</v>
      </c>
      <c r="E354" s="3">
        <v>2</v>
      </c>
      <c r="F354" s="3">
        <v>2</v>
      </c>
      <c r="G354" s="3">
        <v>121384</v>
      </c>
    </row>
    <row r="355" spans="1:7">
      <c r="A355" s="3" t="s">
        <v>415</v>
      </c>
      <c r="B355" s="3" t="s">
        <v>44</v>
      </c>
      <c r="C355" s="3" t="s">
        <v>24</v>
      </c>
      <c r="D355" s="3" t="s">
        <v>362</v>
      </c>
      <c r="E355" s="3">
        <v>2</v>
      </c>
      <c r="F355" s="3">
        <v>1</v>
      </c>
      <c r="G355" s="3">
        <v>80789</v>
      </c>
    </row>
    <row r="356" spans="1:7">
      <c r="A356" s="3" t="s">
        <v>416</v>
      </c>
      <c r="B356" s="3" t="s">
        <v>44</v>
      </c>
      <c r="C356" s="3" t="s">
        <v>24</v>
      </c>
      <c r="D356" s="3" t="s">
        <v>165</v>
      </c>
      <c r="E356" s="3">
        <v>3</v>
      </c>
      <c r="F356" s="3">
        <v>2</v>
      </c>
      <c r="G356" s="3">
        <v>157153</v>
      </c>
    </row>
    <row r="357" spans="1:7">
      <c r="A357" s="3" t="s">
        <v>417</v>
      </c>
      <c r="B357" s="3" t="s">
        <v>44</v>
      </c>
      <c r="C357" s="3" t="s">
        <v>24</v>
      </c>
      <c r="D357" s="3" t="s">
        <v>171</v>
      </c>
      <c r="E357" s="3">
        <v>4</v>
      </c>
      <c r="F357" s="3">
        <v>3</v>
      </c>
      <c r="G357" s="3">
        <v>210978</v>
      </c>
    </row>
    <row r="358" spans="1:7">
      <c r="A358" s="3" t="s">
        <v>418</v>
      </c>
      <c r="B358" s="3" t="s">
        <v>44</v>
      </c>
      <c r="C358" s="3" t="s">
        <v>24</v>
      </c>
      <c r="D358" s="3" t="s">
        <v>171</v>
      </c>
      <c r="E358" s="3">
        <v>2</v>
      </c>
      <c r="F358" s="3">
        <v>1</v>
      </c>
      <c r="G358" s="3">
        <v>73665</v>
      </c>
    </row>
    <row r="359" spans="1:7">
      <c r="A359" s="3" t="s">
        <v>419</v>
      </c>
      <c r="B359" s="3" t="s">
        <v>44</v>
      </c>
      <c r="C359" s="3" t="s">
        <v>24</v>
      </c>
      <c r="D359" s="3" t="s">
        <v>171</v>
      </c>
      <c r="E359" s="3">
        <v>4</v>
      </c>
      <c r="F359" s="3">
        <v>1</v>
      </c>
      <c r="G359" s="3">
        <v>164149</v>
      </c>
    </row>
    <row r="360" spans="1:7">
      <c r="A360" s="3" t="s">
        <v>420</v>
      </c>
      <c r="B360" s="3" t="s">
        <v>44</v>
      </c>
      <c r="C360" s="3" t="s">
        <v>24</v>
      </c>
      <c r="D360" s="3" t="s">
        <v>171</v>
      </c>
      <c r="E360" s="3">
        <v>2</v>
      </c>
      <c r="F360" s="3">
        <v>1</v>
      </c>
      <c r="G360" s="3">
        <v>97133</v>
      </c>
    </row>
    <row r="361" spans="1:7">
      <c r="A361" s="3" t="s">
        <v>421</v>
      </c>
      <c r="B361" s="3" t="s">
        <v>44</v>
      </c>
      <c r="C361" s="3" t="s">
        <v>24</v>
      </c>
      <c r="D361" s="3" t="s">
        <v>51</v>
      </c>
      <c r="E361" s="3">
        <v>2</v>
      </c>
      <c r="F361" s="3">
        <v>2</v>
      </c>
      <c r="G361" s="3">
        <v>105054</v>
      </c>
    </row>
    <row r="362" spans="1:7">
      <c r="A362" s="3" t="s">
        <v>422</v>
      </c>
      <c r="B362" s="3" t="s">
        <v>44</v>
      </c>
      <c r="C362" s="3" t="s">
        <v>24</v>
      </c>
      <c r="D362" s="3" t="s">
        <v>51</v>
      </c>
      <c r="E362" s="3">
        <v>3</v>
      </c>
      <c r="F362" s="3">
        <v>3</v>
      </c>
      <c r="G362" s="3">
        <v>177279</v>
      </c>
    </row>
    <row r="363" spans="1:7">
      <c r="A363" s="3" t="s">
        <v>423</v>
      </c>
      <c r="B363" s="3" t="s">
        <v>44</v>
      </c>
      <c r="C363" s="3" t="s">
        <v>24</v>
      </c>
      <c r="D363" s="3" t="s">
        <v>171</v>
      </c>
      <c r="E363" s="3">
        <v>3</v>
      </c>
      <c r="F363" s="3">
        <v>3</v>
      </c>
      <c r="G363" s="3">
        <v>145776</v>
      </c>
    </row>
    <row r="364" spans="1:7">
      <c r="A364" s="3" t="s">
        <v>424</v>
      </c>
      <c r="B364" s="3" t="s">
        <v>44</v>
      </c>
      <c r="C364" s="3" t="s">
        <v>24</v>
      </c>
      <c r="D364" s="3" t="s">
        <v>165</v>
      </c>
      <c r="E364" s="3">
        <v>2</v>
      </c>
      <c r="F364" s="3">
        <v>1</v>
      </c>
      <c r="G364" s="3">
        <v>88748</v>
      </c>
    </row>
    <row r="365" spans="1:7">
      <c r="A365" s="3" t="s">
        <v>425</v>
      </c>
      <c r="B365" s="3" t="s">
        <v>44</v>
      </c>
      <c r="C365" s="3" t="s">
        <v>24</v>
      </c>
      <c r="D365" s="3" t="s">
        <v>171</v>
      </c>
      <c r="E365" s="3">
        <v>2</v>
      </c>
      <c r="F365" s="3">
        <v>2</v>
      </c>
      <c r="G365" s="3">
        <v>106792</v>
      </c>
    </row>
    <row r="366" spans="1:7">
      <c r="A366" s="3" t="s">
        <v>425</v>
      </c>
      <c r="B366" s="3" t="s">
        <v>44</v>
      </c>
      <c r="C366" s="3" t="s">
        <v>24</v>
      </c>
      <c r="D366" s="3" t="s">
        <v>171</v>
      </c>
      <c r="E366" s="3">
        <v>4</v>
      </c>
      <c r="F366" s="3">
        <v>4</v>
      </c>
      <c r="G366" s="3">
        <v>203292</v>
      </c>
    </row>
    <row r="367" spans="1:7">
      <c r="A367" s="3" t="s">
        <v>426</v>
      </c>
      <c r="B367" s="3" t="s">
        <v>44</v>
      </c>
      <c r="C367" s="3" t="s">
        <v>24</v>
      </c>
      <c r="D367" s="3" t="s">
        <v>81</v>
      </c>
      <c r="E367" s="3">
        <v>3</v>
      </c>
      <c r="F367" s="3">
        <v>3</v>
      </c>
      <c r="G367" s="3">
        <v>131742</v>
      </c>
    </row>
    <row r="368" spans="1:7">
      <c r="A368" s="3" t="s">
        <v>427</v>
      </c>
      <c r="B368" s="3" t="s">
        <v>44</v>
      </c>
      <c r="C368" s="3" t="s">
        <v>24</v>
      </c>
      <c r="D368" s="3" t="s">
        <v>362</v>
      </c>
      <c r="E368" s="3">
        <v>2</v>
      </c>
      <c r="F368" s="3">
        <v>2</v>
      </c>
      <c r="G368" s="3">
        <v>105130</v>
      </c>
    </row>
    <row r="369" spans="1:7">
      <c r="A369" s="3" t="s">
        <v>428</v>
      </c>
      <c r="B369" s="3" t="s">
        <v>44</v>
      </c>
      <c r="C369" s="3" t="s">
        <v>24</v>
      </c>
      <c r="D369" s="3" t="s">
        <v>51</v>
      </c>
      <c r="E369" s="3">
        <v>2</v>
      </c>
      <c r="F369" s="3">
        <v>2</v>
      </c>
      <c r="G369" s="3">
        <v>110112</v>
      </c>
    </row>
    <row r="370" spans="1:7">
      <c r="A370" s="3" t="s">
        <v>429</v>
      </c>
      <c r="B370" s="3" t="s">
        <v>44</v>
      </c>
      <c r="C370" s="3" t="s">
        <v>24</v>
      </c>
      <c r="D370" s="3" t="s">
        <v>171</v>
      </c>
      <c r="E370" s="3">
        <v>5</v>
      </c>
      <c r="F370" s="3">
        <v>5</v>
      </c>
      <c r="G370" s="3">
        <v>252390</v>
      </c>
    </row>
    <row r="371" spans="1:7">
      <c r="A371" s="3" t="s">
        <v>430</v>
      </c>
      <c r="B371" s="3" t="s">
        <v>44</v>
      </c>
      <c r="C371" s="3" t="s">
        <v>24</v>
      </c>
      <c r="D371" s="3" t="s">
        <v>76</v>
      </c>
      <c r="E371" s="3">
        <v>2</v>
      </c>
      <c r="F371" s="3">
        <v>2</v>
      </c>
      <c r="G371" s="3">
        <v>108910</v>
      </c>
    </row>
    <row r="372" spans="1:7">
      <c r="A372" s="3" t="s">
        <v>431</v>
      </c>
      <c r="B372" s="3" t="s">
        <v>44</v>
      </c>
      <c r="C372" s="3" t="s">
        <v>24</v>
      </c>
      <c r="D372" s="3" t="s">
        <v>306</v>
      </c>
      <c r="E372" s="3">
        <v>2</v>
      </c>
      <c r="F372" s="3">
        <v>2</v>
      </c>
      <c r="G372" s="3">
        <v>108244</v>
      </c>
    </row>
    <row r="373" spans="1:7">
      <c r="A373" s="3" t="s">
        <v>432</v>
      </c>
      <c r="B373" s="3" t="s">
        <v>44</v>
      </c>
      <c r="C373" s="3" t="s">
        <v>24</v>
      </c>
      <c r="D373" s="3" t="s">
        <v>165</v>
      </c>
      <c r="E373" s="3">
        <v>3</v>
      </c>
      <c r="F373" s="3">
        <v>2</v>
      </c>
      <c r="G373" s="3">
        <v>130089</v>
      </c>
    </row>
    <row r="374" spans="1:7">
      <c r="A374" s="3" t="s">
        <v>433</v>
      </c>
      <c r="B374" s="3" t="s">
        <v>44</v>
      </c>
      <c r="C374" s="3" t="s">
        <v>24</v>
      </c>
      <c r="D374" s="3" t="s">
        <v>76</v>
      </c>
      <c r="E374" s="3">
        <v>2</v>
      </c>
      <c r="F374" s="3">
        <v>2</v>
      </c>
      <c r="G374" s="3">
        <v>89820</v>
      </c>
    </row>
    <row r="375" spans="1:7">
      <c r="A375" s="3" t="s">
        <v>434</v>
      </c>
      <c r="B375" s="3" t="s">
        <v>44</v>
      </c>
      <c r="C375" s="3" t="s">
        <v>24</v>
      </c>
      <c r="D375" s="3" t="s">
        <v>59</v>
      </c>
      <c r="E375" s="3">
        <v>5</v>
      </c>
      <c r="F375" s="3">
        <v>3</v>
      </c>
      <c r="G375" s="3">
        <v>218781</v>
      </c>
    </row>
    <row r="376" spans="1:7">
      <c r="A376" s="3" t="s">
        <v>435</v>
      </c>
      <c r="B376" s="3" t="s">
        <v>44</v>
      </c>
      <c r="C376" s="3" t="s">
        <v>24</v>
      </c>
      <c r="D376" s="3" t="s">
        <v>76</v>
      </c>
      <c r="E376" s="3">
        <v>4</v>
      </c>
      <c r="F376" s="3">
        <v>3</v>
      </c>
      <c r="G376" s="3">
        <v>188989</v>
      </c>
    </row>
    <row r="377" spans="1:7">
      <c r="A377" s="3" t="s">
        <v>436</v>
      </c>
      <c r="B377" s="3" t="s">
        <v>44</v>
      </c>
      <c r="C377" s="3" t="s">
        <v>24</v>
      </c>
      <c r="D377" s="3" t="s">
        <v>110</v>
      </c>
      <c r="E377" s="3">
        <v>3</v>
      </c>
      <c r="F377" s="3">
        <v>1</v>
      </c>
      <c r="G377" s="3">
        <v>135833</v>
      </c>
    </row>
    <row r="378" spans="1:7">
      <c r="A378" s="3" t="s">
        <v>437</v>
      </c>
      <c r="B378" s="3" t="s">
        <v>44</v>
      </c>
      <c r="C378" s="3" t="s">
        <v>24</v>
      </c>
      <c r="D378" s="3" t="s">
        <v>110</v>
      </c>
      <c r="E378" s="3">
        <v>2</v>
      </c>
      <c r="F378" s="3">
        <v>1</v>
      </c>
      <c r="G378" s="3">
        <v>88741</v>
      </c>
    </row>
    <row r="379" spans="1:7">
      <c r="A379" s="3" t="s">
        <v>438</v>
      </c>
      <c r="B379" s="3" t="s">
        <v>44</v>
      </c>
      <c r="C379" s="3" t="s">
        <v>24</v>
      </c>
      <c r="D379" s="3" t="s">
        <v>362</v>
      </c>
      <c r="E379" s="3">
        <v>2</v>
      </c>
      <c r="F379" s="3">
        <v>1</v>
      </c>
      <c r="G379" s="3">
        <v>79313</v>
      </c>
    </row>
    <row r="380" spans="1:7">
      <c r="A380" s="3" t="s">
        <v>439</v>
      </c>
      <c r="B380" s="3" t="s">
        <v>44</v>
      </c>
      <c r="C380" s="3" t="s">
        <v>24</v>
      </c>
      <c r="D380" s="3" t="s">
        <v>67</v>
      </c>
      <c r="E380" s="3">
        <v>5</v>
      </c>
      <c r="F380" s="3">
        <v>4</v>
      </c>
      <c r="G380" s="3">
        <v>253833</v>
      </c>
    </row>
    <row r="381" spans="1:7">
      <c r="A381" s="3" t="s">
        <v>440</v>
      </c>
      <c r="B381" s="3" t="s">
        <v>44</v>
      </c>
      <c r="C381" s="3" t="s">
        <v>24</v>
      </c>
      <c r="D381" s="3" t="s">
        <v>110</v>
      </c>
      <c r="E381" s="3">
        <v>2</v>
      </c>
      <c r="F381" s="3">
        <v>1</v>
      </c>
      <c r="G381" s="3">
        <v>90563</v>
      </c>
    </row>
    <row r="382" spans="1:7">
      <c r="A382" s="3" t="s">
        <v>441</v>
      </c>
      <c r="B382" s="3" t="s">
        <v>44</v>
      </c>
      <c r="C382" s="3" t="s">
        <v>24</v>
      </c>
      <c r="D382" s="3" t="s">
        <v>67</v>
      </c>
      <c r="E382" s="3">
        <v>2</v>
      </c>
      <c r="F382" s="3">
        <v>2</v>
      </c>
      <c r="G382" s="3">
        <v>108210</v>
      </c>
    </row>
    <row r="383" spans="1:7">
      <c r="A383" s="3" t="s">
        <v>442</v>
      </c>
      <c r="B383" s="3" t="s">
        <v>44</v>
      </c>
      <c r="C383" s="3" t="s">
        <v>24</v>
      </c>
      <c r="D383" s="3" t="s">
        <v>261</v>
      </c>
      <c r="E383" s="3">
        <v>2</v>
      </c>
      <c r="F383" s="3">
        <v>1</v>
      </c>
      <c r="G383" s="3">
        <v>96887</v>
      </c>
    </row>
    <row r="384" spans="1:7">
      <c r="A384" s="3" t="s">
        <v>443</v>
      </c>
      <c r="B384" s="3" t="s">
        <v>44</v>
      </c>
      <c r="C384" s="3" t="s">
        <v>24</v>
      </c>
      <c r="D384" s="3" t="s">
        <v>362</v>
      </c>
      <c r="E384" s="3">
        <v>2</v>
      </c>
      <c r="F384" s="3">
        <v>2</v>
      </c>
      <c r="G384" s="3">
        <v>103554</v>
      </c>
    </row>
    <row r="385" spans="1:7">
      <c r="A385" s="3" t="s">
        <v>444</v>
      </c>
      <c r="B385" s="3" t="s">
        <v>44</v>
      </c>
      <c r="C385" s="3" t="s">
        <v>24</v>
      </c>
      <c r="D385" s="3" t="s">
        <v>59</v>
      </c>
      <c r="E385" s="3">
        <v>3</v>
      </c>
      <c r="F385" s="3">
        <v>3</v>
      </c>
      <c r="G385" s="3">
        <v>168258</v>
      </c>
    </row>
    <row r="386" spans="1:7">
      <c r="A386" s="3" t="s">
        <v>445</v>
      </c>
      <c r="B386" s="3" t="s">
        <v>44</v>
      </c>
      <c r="C386" s="3" t="s">
        <v>24</v>
      </c>
      <c r="D386" s="3" t="s">
        <v>171</v>
      </c>
      <c r="E386" s="3">
        <v>3</v>
      </c>
      <c r="F386" s="3">
        <v>3</v>
      </c>
      <c r="G386" s="3">
        <v>159027</v>
      </c>
    </row>
    <row r="387" spans="1:7">
      <c r="A387" s="3" t="s">
        <v>446</v>
      </c>
      <c r="B387" s="3" t="s">
        <v>44</v>
      </c>
      <c r="C387" s="3" t="s">
        <v>24</v>
      </c>
      <c r="D387" s="3" t="s">
        <v>103</v>
      </c>
      <c r="E387" s="3">
        <v>4</v>
      </c>
      <c r="F387" s="3">
        <v>3</v>
      </c>
      <c r="G387" s="3">
        <v>192334</v>
      </c>
    </row>
    <row r="388" spans="1:7">
      <c r="A388" s="3" t="s">
        <v>447</v>
      </c>
      <c r="B388" s="3" t="s">
        <v>44</v>
      </c>
      <c r="C388" s="3" t="s">
        <v>24</v>
      </c>
      <c r="D388" s="3" t="s">
        <v>103</v>
      </c>
      <c r="E388" s="3">
        <v>2</v>
      </c>
      <c r="F388" s="3">
        <v>1</v>
      </c>
      <c r="G388" s="3">
        <v>98864</v>
      </c>
    </row>
    <row r="389" spans="1:7">
      <c r="A389" s="3" t="s">
        <v>448</v>
      </c>
      <c r="B389" s="3" t="s">
        <v>44</v>
      </c>
      <c r="C389" s="3" t="s">
        <v>24</v>
      </c>
      <c r="D389" s="3" t="s">
        <v>59</v>
      </c>
      <c r="E389" s="3">
        <v>3</v>
      </c>
      <c r="F389" s="3">
        <v>1</v>
      </c>
      <c r="G389" s="3">
        <v>106011</v>
      </c>
    </row>
    <row r="390" spans="1:7">
      <c r="A390" s="3" t="s">
        <v>449</v>
      </c>
      <c r="B390" s="3" t="s">
        <v>44</v>
      </c>
      <c r="C390" s="3" t="s">
        <v>24</v>
      </c>
      <c r="D390" s="3" t="s">
        <v>116</v>
      </c>
      <c r="E390" s="3">
        <v>4</v>
      </c>
      <c r="F390" s="3">
        <v>2</v>
      </c>
      <c r="G390" s="3">
        <v>182456</v>
      </c>
    </row>
    <row r="391" spans="1:7">
      <c r="A391" s="3" t="s">
        <v>450</v>
      </c>
      <c r="B391" s="3" t="s">
        <v>44</v>
      </c>
      <c r="C391" s="3" t="s">
        <v>24</v>
      </c>
      <c r="D391" s="3" t="s">
        <v>110</v>
      </c>
      <c r="E391" s="3">
        <v>3</v>
      </c>
      <c r="F391" s="3">
        <v>3</v>
      </c>
      <c r="G391" s="3">
        <v>166443</v>
      </c>
    </row>
    <row r="392" spans="1:7">
      <c r="A392" s="3" t="s">
        <v>451</v>
      </c>
      <c r="B392" s="3" t="s">
        <v>44</v>
      </c>
      <c r="C392" s="3" t="s">
        <v>24</v>
      </c>
      <c r="D392" s="3" t="s">
        <v>171</v>
      </c>
      <c r="E392" s="3">
        <v>5</v>
      </c>
      <c r="F392" s="3">
        <v>2</v>
      </c>
      <c r="G392" s="3">
        <v>182213</v>
      </c>
    </row>
    <row r="393" spans="1:7">
      <c r="A393" s="3" t="s">
        <v>452</v>
      </c>
      <c r="B393" s="3" t="s">
        <v>44</v>
      </c>
      <c r="C393" s="3" t="s">
        <v>24</v>
      </c>
      <c r="D393" s="3" t="s">
        <v>362</v>
      </c>
      <c r="E393" s="3">
        <v>3</v>
      </c>
      <c r="F393" s="3">
        <v>3</v>
      </c>
      <c r="G393" s="3">
        <v>152895</v>
      </c>
    </row>
    <row r="394" spans="1:7">
      <c r="A394" s="3" t="s">
        <v>453</v>
      </c>
      <c r="B394" s="3" t="s">
        <v>44</v>
      </c>
      <c r="C394" s="3" t="s">
        <v>24</v>
      </c>
      <c r="D394" s="3" t="s">
        <v>72</v>
      </c>
      <c r="E394" s="3">
        <v>5</v>
      </c>
      <c r="F394" s="3">
        <v>3</v>
      </c>
      <c r="G394" s="3">
        <v>230732</v>
      </c>
    </row>
    <row r="395" spans="1:7">
      <c r="A395" s="3" t="s">
        <v>454</v>
      </c>
      <c r="B395" s="3" t="s">
        <v>44</v>
      </c>
      <c r="C395" s="3" t="s">
        <v>24</v>
      </c>
      <c r="D395" s="3" t="s">
        <v>116</v>
      </c>
      <c r="E395" s="3">
        <v>2</v>
      </c>
      <c r="F395" s="3">
        <v>2</v>
      </c>
      <c r="G395" s="3">
        <v>104262</v>
      </c>
    </row>
    <row r="396" spans="1:7">
      <c r="A396" s="3" t="s">
        <v>455</v>
      </c>
      <c r="B396" s="3" t="s">
        <v>44</v>
      </c>
      <c r="C396" s="3" t="s">
        <v>24</v>
      </c>
      <c r="D396" s="3" t="s">
        <v>59</v>
      </c>
      <c r="E396" s="3">
        <v>5</v>
      </c>
      <c r="F396" s="3">
        <v>1</v>
      </c>
      <c r="G396" s="3">
        <v>178665</v>
      </c>
    </row>
    <row r="397" spans="1:7">
      <c r="A397" s="3" t="s">
        <v>456</v>
      </c>
      <c r="B397" s="3" t="s">
        <v>44</v>
      </c>
      <c r="C397" s="3" t="s">
        <v>24</v>
      </c>
      <c r="D397" s="3" t="s">
        <v>47</v>
      </c>
      <c r="E397" s="3">
        <v>3</v>
      </c>
      <c r="F397" s="3">
        <v>2</v>
      </c>
      <c r="G397" s="3">
        <v>120738</v>
      </c>
    </row>
    <row r="398" spans="1:7">
      <c r="A398" s="3" t="s">
        <v>457</v>
      </c>
      <c r="B398" s="3" t="s">
        <v>44</v>
      </c>
      <c r="C398" s="3" t="s">
        <v>24</v>
      </c>
      <c r="D398" s="3" t="s">
        <v>76</v>
      </c>
      <c r="E398" s="3">
        <v>4</v>
      </c>
      <c r="F398" s="3">
        <v>1</v>
      </c>
      <c r="G398" s="3">
        <v>125111</v>
      </c>
    </row>
    <row r="399" spans="1:7">
      <c r="A399" s="3" t="s">
        <v>458</v>
      </c>
      <c r="B399" s="3" t="s">
        <v>44</v>
      </c>
      <c r="C399" s="3" t="s">
        <v>24</v>
      </c>
      <c r="D399" s="3" t="s">
        <v>51</v>
      </c>
      <c r="E399" s="3">
        <v>3</v>
      </c>
      <c r="F399" s="3">
        <v>3</v>
      </c>
      <c r="G399" s="3">
        <v>164820</v>
      </c>
    </row>
    <row r="400" spans="1:7">
      <c r="A400" s="3" t="s">
        <v>459</v>
      </c>
      <c r="B400" s="3" t="s">
        <v>44</v>
      </c>
      <c r="C400" s="3" t="s">
        <v>24</v>
      </c>
      <c r="D400" s="3" t="s">
        <v>72</v>
      </c>
      <c r="E400" s="3">
        <v>5</v>
      </c>
      <c r="F400" s="3">
        <v>3</v>
      </c>
      <c r="G400" s="3">
        <v>194571</v>
      </c>
    </row>
    <row r="401" spans="1:7">
      <c r="A401" s="3" t="s">
        <v>460</v>
      </c>
      <c r="B401" s="3" t="s">
        <v>44</v>
      </c>
      <c r="C401" s="3" t="s">
        <v>24</v>
      </c>
      <c r="D401" s="3" t="s">
        <v>47</v>
      </c>
      <c r="E401" s="3">
        <v>2</v>
      </c>
      <c r="F401" s="3">
        <v>2</v>
      </c>
      <c r="G401" s="3">
        <v>107796</v>
      </c>
    </row>
    <row r="402" spans="1:7">
      <c r="A402" s="3" t="s">
        <v>461</v>
      </c>
      <c r="B402" s="3" t="s">
        <v>44</v>
      </c>
      <c r="C402" s="3" t="s">
        <v>24</v>
      </c>
      <c r="D402" s="3" t="s">
        <v>174</v>
      </c>
      <c r="E402" s="3">
        <v>3</v>
      </c>
      <c r="F402" s="3">
        <v>1</v>
      </c>
      <c r="G402" s="3">
        <v>134183</v>
      </c>
    </row>
    <row r="403" spans="1:7">
      <c r="A403" s="3" t="s">
        <v>462</v>
      </c>
      <c r="B403" s="3" t="s">
        <v>44</v>
      </c>
      <c r="C403" s="3" t="s">
        <v>24</v>
      </c>
      <c r="D403" s="3" t="s">
        <v>72</v>
      </c>
      <c r="E403" s="3">
        <v>2</v>
      </c>
      <c r="F403" s="3">
        <v>1</v>
      </c>
      <c r="G403" s="3">
        <v>76236</v>
      </c>
    </row>
    <row r="404" spans="1:7">
      <c r="A404" s="3" t="s">
        <v>463</v>
      </c>
      <c r="B404" s="3" t="s">
        <v>44</v>
      </c>
      <c r="C404" s="3" t="s">
        <v>24</v>
      </c>
      <c r="D404" s="3" t="s">
        <v>116</v>
      </c>
      <c r="E404" s="3">
        <v>4</v>
      </c>
      <c r="F404" s="3">
        <v>4</v>
      </c>
      <c r="G404" s="3">
        <v>223516</v>
      </c>
    </row>
    <row r="405" spans="1:7">
      <c r="A405" s="3" t="s">
        <v>464</v>
      </c>
      <c r="B405" s="3" t="s">
        <v>44</v>
      </c>
      <c r="C405" s="3" t="s">
        <v>24</v>
      </c>
      <c r="D405" s="3" t="s">
        <v>59</v>
      </c>
      <c r="E405" s="3">
        <v>3</v>
      </c>
      <c r="F405" s="3">
        <v>2</v>
      </c>
      <c r="G405" s="3">
        <v>153807</v>
      </c>
    </row>
    <row r="406" spans="1:7">
      <c r="A406" s="3" t="s">
        <v>465</v>
      </c>
      <c r="B406" s="3" t="s">
        <v>44</v>
      </c>
      <c r="C406" s="3" t="s">
        <v>24</v>
      </c>
      <c r="D406" s="3" t="s">
        <v>116</v>
      </c>
      <c r="E406" s="3">
        <v>2</v>
      </c>
      <c r="F406" s="3">
        <v>2</v>
      </c>
      <c r="G406" s="3">
        <v>98650</v>
      </c>
    </row>
    <row r="407" spans="1:7">
      <c r="A407" s="3" t="s">
        <v>466</v>
      </c>
      <c r="B407" s="3" t="s">
        <v>44</v>
      </c>
      <c r="C407" s="3" t="s">
        <v>24</v>
      </c>
      <c r="D407" s="3" t="s">
        <v>59</v>
      </c>
      <c r="E407" s="3">
        <v>4</v>
      </c>
      <c r="F407" s="3">
        <v>3</v>
      </c>
      <c r="G407" s="3">
        <v>181344</v>
      </c>
    </row>
    <row r="408" spans="1:7">
      <c r="A408" s="3" t="s">
        <v>467</v>
      </c>
      <c r="B408" s="3" t="s">
        <v>44</v>
      </c>
      <c r="C408" s="3" t="s">
        <v>24</v>
      </c>
      <c r="D408" s="3" t="s">
        <v>116</v>
      </c>
      <c r="E408" s="3">
        <v>4</v>
      </c>
      <c r="F408" s="3">
        <v>2</v>
      </c>
      <c r="G408" s="3">
        <v>182902</v>
      </c>
    </row>
    <row r="409" spans="1:7">
      <c r="A409" s="3" t="s">
        <v>468</v>
      </c>
      <c r="B409" s="3" t="s">
        <v>44</v>
      </c>
      <c r="C409" s="3" t="s">
        <v>24</v>
      </c>
      <c r="D409" s="3" t="s">
        <v>103</v>
      </c>
      <c r="E409" s="3">
        <v>5</v>
      </c>
      <c r="F409" s="3">
        <v>3</v>
      </c>
      <c r="G409" s="3">
        <v>257159</v>
      </c>
    </row>
    <row r="410" spans="1:7">
      <c r="A410" s="3" t="s">
        <v>469</v>
      </c>
      <c r="B410" s="3" t="s">
        <v>44</v>
      </c>
      <c r="C410" s="3" t="s">
        <v>24</v>
      </c>
      <c r="D410" s="3" t="s">
        <v>103</v>
      </c>
      <c r="E410" s="3">
        <v>5</v>
      </c>
      <c r="F410" s="3">
        <v>3</v>
      </c>
      <c r="G410" s="3">
        <v>208025</v>
      </c>
    </row>
    <row r="411" spans="1:7">
      <c r="A411" s="3" t="s">
        <v>470</v>
      </c>
      <c r="B411" s="3" t="s">
        <v>44</v>
      </c>
      <c r="C411" s="3" t="s">
        <v>24</v>
      </c>
      <c r="D411" s="3" t="s">
        <v>116</v>
      </c>
      <c r="E411" s="3">
        <v>5</v>
      </c>
      <c r="F411" s="3">
        <v>2</v>
      </c>
      <c r="G411" s="3">
        <v>227952</v>
      </c>
    </row>
    <row r="412" spans="1:7">
      <c r="A412" s="3" t="s">
        <v>471</v>
      </c>
      <c r="B412" s="3" t="s">
        <v>44</v>
      </c>
      <c r="C412" s="3" t="s">
        <v>24</v>
      </c>
      <c r="D412" s="3" t="s">
        <v>103</v>
      </c>
      <c r="E412" s="3">
        <v>2</v>
      </c>
      <c r="F412" s="3">
        <v>1</v>
      </c>
      <c r="G412" s="3">
        <v>74163</v>
      </c>
    </row>
    <row r="413" spans="1:7">
      <c r="A413" s="3" t="s">
        <v>472</v>
      </c>
      <c r="B413" s="3" t="s">
        <v>44</v>
      </c>
      <c r="C413" s="3" t="s">
        <v>24</v>
      </c>
      <c r="D413" s="3" t="s">
        <v>59</v>
      </c>
      <c r="E413" s="3">
        <v>2</v>
      </c>
      <c r="F413" s="3">
        <v>1</v>
      </c>
      <c r="G413" s="3">
        <v>83954</v>
      </c>
    </row>
    <row r="414" spans="1:7">
      <c r="A414" s="3" t="s">
        <v>473</v>
      </c>
      <c r="B414" s="3" t="s">
        <v>44</v>
      </c>
      <c r="C414" s="3" t="s">
        <v>24</v>
      </c>
      <c r="D414" s="3" t="s">
        <v>81</v>
      </c>
      <c r="E414" s="3">
        <v>2</v>
      </c>
      <c r="F414" s="3">
        <v>2</v>
      </c>
      <c r="G414" s="3">
        <v>118394</v>
      </c>
    </row>
    <row r="415" spans="1:7">
      <c r="A415" s="3" t="s">
        <v>474</v>
      </c>
      <c r="B415" s="3" t="s">
        <v>44</v>
      </c>
      <c r="C415" s="3" t="s">
        <v>24</v>
      </c>
      <c r="D415" s="3" t="s">
        <v>67</v>
      </c>
      <c r="E415" s="3">
        <v>2</v>
      </c>
      <c r="F415" s="3">
        <v>1</v>
      </c>
      <c r="G415" s="3">
        <v>97747</v>
      </c>
    </row>
    <row r="416" spans="1:7">
      <c r="A416" s="3" t="s">
        <v>475</v>
      </c>
      <c r="B416" s="3" t="s">
        <v>44</v>
      </c>
      <c r="C416" s="3" t="s">
        <v>24</v>
      </c>
      <c r="D416" s="3" t="s">
        <v>65</v>
      </c>
      <c r="E416" s="3">
        <v>3</v>
      </c>
      <c r="F416" s="3">
        <v>1</v>
      </c>
      <c r="G416" s="3">
        <v>134993</v>
      </c>
    </row>
    <row r="417" spans="1:7">
      <c r="A417" s="3" t="s">
        <v>476</v>
      </c>
      <c r="B417" s="3" t="s">
        <v>44</v>
      </c>
      <c r="C417" s="3" t="s">
        <v>24</v>
      </c>
      <c r="D417" s="3" t="s">
        <v>79</v>
      </c>
      <c r="E417" s="3">
        <v>5</v>
      </c>
      <c r="F417" s="3">
        <v>1</v>
      </c>
      <c r="G417" s="3">
        <v>164400</v>
      </c>
    </row>
    <row r="418" spans="1:7">
      <c r="A418" s="3" t="s">
        <v>477</v>
      </c>
      <c r="B418" s="3" t="s">
        <v>44</v>
      </c>
      <c r="C418" s="3" t="s">
        <v>24</v>
      </c>
      <c r="D418" s="3" t="s">
        <v>51</v>
      </c>
      <c r="E418" s="3">
        <v>3</v>
      </c>
      <c r="F418" s="3">
        <v>2</v>
      </c>
      <c r="G418" s="3">
        <v>154540</v>
      </c>
    </row>
    <row r="419" spans="1:7">
      <c r="A419" s="3" t="s">
        <v>478</v>
      </c>
      <c r="B419" s="3" t="s">
        <v>44</v>
      </c>
      <c r="C419" s="3" t="s">
        <v>24</v>
      </c>
      <c r="D419" s="3" t="s">
        <v>67</v>
      </c>
      <c r="E419" s="3">
        <v>3</v>
      </c>
      <c r="F419" s="3">
        <v>2</v>
      </c>
      <c r="G419" s="3">
        <v>147856</v>
      </c>
    </row>
    <row r="420" spans="1:7">
      <c r="A420" s="3" t="s">
        <v>479</v>
      </c>
      <c r="B420" s="3" t="s">
        <v>44</v>
      </c>
      <c r="C420" s="3" t="s">
        <v>24</v>
      </c>
      <c r="D420" s="3" t="s">
        <v>79</v>
      </c>
      <c r="E420" s="3">
        <v>3</v>
      </c>
      <c r="F420" s="3">
        <v>1</v>
      </c>
      <c r="G420" s="3">
        <v>109124</v>
      </c>
    </row>
    <row r="421" spans="1:7">
      <c r="A421" s="3" t="s">
        <v>480</v>
      </c>
      <c r="B421" s="3" t="s">
        <v>44</v>
      </c>
      <c r="C421" s="3" t="s">
        <v>24</v>
      </c>
      <c r="D421" s="3" t="s">
        <v>79</v>
      </c>
      <c r="E421" s="3">
        <v>2</v>
      </c>
      <c r="F421" s="3">
        <v>2</v>
      </c>
      <c r="G421" s="3">
        <v>108866</v>
      </c>
    </row>
    <row r="422" spans="1:7">
      <c r="A422" s="3" t="s">
        <v>481</v>
      </c>
      <c r="B422" s="3" t="s">
        <v>44</v>
      </c>
      <c r="C422" s="3" t="s">
        <v>24</v>
      </c>
      <c r="D422" s="3" t="s">
        <v>79</v>
      </c>
      <c r="E422" s="3">
        <v>4</v>
      </c>
      <c r="F422" s="3">
        <v>3</v>
      </c>
      <c r="G422" s="3">
        <v>162558</v>
      </c>
    </row>
    <row r="423" spans="1:7">
      <c r="A423" s="3" t="s">
        <v>482</v>
      </c>
      <c r="B423" s="3" t="s">
        <v>44</v>
      </c>
      <c r="C423" s="3" t="s">
        <v>24</v>
      </c>
      <c r="D423" s="3" t="s">
        <v>67</v>
      </c>
      <c r="E423" s="3">
        <v>2</v>
      </c>
      <c r="F423" s="3">
        <v>1</v>
      </c>
      <c r="G423" s="3">
        <v>91192</v>
      </c>
    </row>
    <row r="424" spans="1:7">
      <c r="A424" s="3" t="s">
        <v>483</v>
      </c>
      <c r="B424" s="3" t="s">
        <v>44</v>
      </c>
      <c r="C424" s="3" t="s">
        <v>24</v>
      </c>
      <c r="D424" s="3" t="s">
        <v>59</v>
      </c>
      <c r="E424" s="3">
        <v>3</v>
      </c>
      <c r="F424" s="3">
        <v>3</v>
      </c>
      <c r="G424" s="3">
        <v>176442</v>
      </c>
    </row>
    <row r="425" spans="1:7">
      <c r="A425" s="3" t="s">
        <v>484</v>
      </c>
      <c r="B425" s="3" t="s">
        <v>44</v>
      </c>
      <c r="C425" s="3" t="s">
        <v>24</v>
      </c>
      <c r="D425" s="3" t="s">
        <v>116</v>
      </c>
      <c r="E425" s="3">
        <v>3</v>
      </c>
      <c r="F425" s="3">
        <v>2</v>
      </c>
      <c r="G425" s="3">
        <v>129448</v>
      </c>
    </row>
    <row r="426" spans="1:7">
      <c r="A426" s="3" t="s">
        <v>485</v>
      </c>
      <c r="B426" s="3" t="s">
        <v>44</v>
      </c>
      <c r="C426" s="3" t="s">
        <v>24</v>
      </c>
      <c r="D426" s="3" t="s">
        <v>79</v>
      </c>
      <c r="E426" s="3">
        <v>4</v>
      </c>
      <c r="F426" s="3">
        <v>4</v>
      </c>
      <c r="G426" s="3">
        <v>192560</v>
      </c>
    </row>
    <row r="427" spans="1:7">
      <c r="A427" s="3" t="s">
        <v>486</v>
      </c>
      <c r="B427" s="3" t="s">
        <v>44</v>
      </c>
      <c r="C427" s="3" t="s">
        <v>24</v>
      </c>
      <c r="D427" s="3" t="s">
        <v>72</v>
      </c>
      <c r="E427" s="3">
        <v>3</v>
      </c>
      <c r="F427" s="3">
        <v>1</v>
      </c>
      <c r="G427" s="3">
        <v>94563</v>
      </c>
    </row>
    <row r="428" spans="1:7">
      <c r="A428" s="3" t="s">
        <v>487</v>
      </c>
      <c r="B428" s="3" t="s">
        <v>44</v>
      </c>
      <c r="C428" s="3" t="s">
        <v>24</v>
      </c>
      <c r="D428" s="3" t="s">
        <v>72</v>
      </c>
      <c r="E428" s="3">
        <v>4</v>
      </c>
      <c r="F428" s="3">
        <v>2</v>
      </c>
      <c r="G428" s="3">
        <v>158028</v>
      </c>
    </row>
    <row r="429" spans="1:7">
      <c r="A429" s="3" t="s">
        <v>488</v>
      </c>
      <c r="B429" s="3" t="s">
        <v>44</v>
      </c>
      <c r="C429" s="3" t="s">
        <v>24</v>
      </c>
      <c r="D429" s="3" t="s">
        <v>79</v>
      </c>
      <c r="E429" s="3">
        <v>2</v>
      </c>
      <c r="F429" s="3">
        <v>1</v>
      </c>
      <c r="G429" s="3">
        <v>84733</v>
      </c>
    </row>
    <row r="430" spans="1:7">
      <c r="A430" s="3" t="s">
        <v>489</v>
      </c>
      <c r="B430" s="3" t="s">
        <v>44</v>
      </c>
      <c r="C430" s="3" t="s">
        <v>24</v>
      </c>
      <c r="D430" s="3" t="s">
        <v>72</v>
      </c>
      <c r="E430" s="3">
        <v>2</v>
      </c>
      <c r="F430" s="3">
        <v>2</v>
      </c>
      <c r="G430" s="3">
        <v>114664</v>
      </c>
    </row>
    <row r="431" spans="1:7">
      <c r="A431" s="3" t="s">
        <v>490</v>
      </c>
      <c r="B431" s="3" t="s">
        <v>44</v>
      </c>
      <c r="C431" s="3" t="s">
        <v>24</v>
      </c>
      <c r="D431" s="3" t="s">
        <v>79</v>
      </c>
      <c r="E431" s="3">
        <v>3</v>
      </c>
      <c r="F431" s="3">
        <v>2</v>
      </c>
      <c r="G431" s="3">
        <v>146661</v>
      </c>
    </row>
    <row r="432" spans="1:7">
      <c r="A432" s="3" t="s">
        <v>491</v>
      </c>
      <c r="B432" s="3" t="s">
        <v>44</v>
      </c>
      <c r="C432" s="3" t="s">
        <v>24</v>
      </c>
      <c r="D432" s="3" t="s">
        <v>72</v>
      </c>
      <c r="E432" s="3">
        <v>3</v>
      </c>
      <c r="F432" s="3">
        <v>2</v>
      </c>
      <c r="G432" s="3">
        <v>138569</v>
      </c>
    </row>
    <row r="433" spans="1:7">
      <c r="A433" s="3" t="s">
        <v>492</v>
      </c>
      <c r="B433" s="3" t="s">
        <v>44</v>
      </c>
      <c r="C433" s="3" t="s">
        <v>24</v>
      </c>
      <c r="D433" s="3" t="s">
        <v>116</v>
      </c>
      <c r="E433" s="3">
        <v>5</v>
      </c>
      <c r="F433" s="3">
        <v>3</v>
      </c>
      <c r="G433" s="3">
        <v>233178</v>
      </c>
    </row>
    <row r="434" spans="1:7">
      <c r="A434" s="3" t="s">
        <v>493</v>
      </c>
      <c r="B434" s="3" t="s">
        <v>44</v>
      </c>
      <c r="C434" s="3" t="s">
        <v>24</v>
      </c>
      <c r="D434" s="3" t="s">
        <v>116</v>
      </c>
      <c r="E434" s="3">
        <v>4</v>
      </c>
      <c r="F434" s="3">
        <v>4</v>
      </c>
      <c r="G434" s="3">
        <v>222924</v>
      </c>
    </row>
    <row r="435" spans="1:7">
      <c r="A435" s="3" t="s">
        <v>494</v>
      </c>
      <c r="B435" s="3" t="s">
        <v>44</v>
      </c>
      <c r="C435" s="3" t="s">
        <v>24</v>
      </c>
      <c r="D435" s="3" t="s">
        <v>495</v>
      </c>
      <c r="E435" s="3">
        <v>3</v>
      </c>
      <c r="F435" s="3">
        <v>3</v>
      </c>
      <c r="G435" s="3">
        <v>163794</v>
      </c>
    </row>
    <row r="436" spans="1:7">
      <c r="A436" s="3" t="s">
        <v>496</v>
      </c>
      <c r="B436" s="3" t="s">
        <v>44</v>
      </c>
      <c r="C436" s="3" t="s">
        <v>24</v>
      </c>
      <c r="D436" s="3" t="s">
        <v>59</v>
      </c>
      <c r="E436" s="3">
        <v>4</v>
      </c>
      <c r="F436" s="3">
        <v>3</v>
      </c>
      <c r="G436" s="3">
        <v>209878</v>
      </c>
    </row>
    <row r="437" spans="1:7">
      <c r="A437" s="3" t="s">
        <v>497</v>
      </c>
      <c r="B437" s="3" t="s">
        <v>44</v>
      </c>
      <c r="C437" s="3" t="s">
        <v>24</v>
      </c>
      <c r="D437" s="3" t="s">
        <v>81</v>
      </c>
      <c r="E437" s="3">
        <v>5</v>
      </c>
      <c r="F437" s="3">
        <v>3</v>
      </c>
      <c r="G437" s="3">
        <v>214683</v>
      </c>
    </row>
    <row r="438" spans="1:7">
      <c r="A438" s="3" t="s">
        <v>498</v>
      </c>
      <c r="B438" s="3" t="s">
        <v>44</v>
      </c>
      <c r="C438" s="3" t="s">
        <v>24</v>
      </c>
      <c r="D438" s="3" t="s">
        <v>59</v>
      </c>
      <c r="E438" s="3">
        <v>4</v>
      </c>
      <c r="F438" s="3">
        <v>1</v>
      </c>
      <c r="G438" s="3">
        <v>143615</v>
      </c>
    </row>
    <row r="439" spans="1:7">
      <c r="A439" s="3" t="s">
        <v>499</v>
      </c>
      <c r="B439" s="3" t="s">
        <v>44</v>
      </c>
      <c r="C439" s="3" t="s">
        <v>24</v>
      </c>
      <c r="D439" s="3" t="s">
        <v>79</v>
      </c>
      <c r="E439" s="3">
        <v>5</v>
      </c>
      <c r="F439" s="3">
        <v>1</v>
      </c>
      <c r="G439" s="3">
        <v>173929</v>
      </c>
    </row>
    <row r="440" spans="1:7">
      <c r="A440" s="3" t="s">
        <v>499</v>
      </c>
      <c r="B440" s="3" t="s">
        <v>44</v>
      </c>
      <c r="C440" s="3" t="s">
        <v>24</v>
      </c>
      <c r="D440" s="3" t="s">
        <v>79</v>
      </c>
      <c r="E440" s="3">
        <v>2</v>
      </c>
      <c r="F440" s="3">
        <v>1</v>
      </c>
      <c r="G440" s="3">
        <v>93978</v>
      </c>
    </row>
    <row r="441" spans="1:7">
      <c r="A441" s="3" t="s">
        <v>500</v>
      </c>
      <c r="B441" s="3" t="s">
        <v>44</v>
      </c>
      <c r="C441" s="3" t="s">
        <v>24</v>
      </c>
      <c r="D441" s="3" t="s">
        <v>171</v>
      </c>
      <c r="E441" s="3">
        <v>4</v>
      </c>
      <c r="F441" s="3">
        <v>2</v>
      </c>
      <c r="G441" s="3">
        <v>167378</v>
      </c>
    </row>
    <row r="442" spans="1:7">
      <c r="A442" s="3" t="s">
        <v>501</v>
      </c>
      <c r="B442" s="3" t="s">
        <v>44</v>
      </c>
      <c r="C442" s="3" t="s">
        <v>24</v>
      </c>
      <c r="D442" s="3" t="s">
        <v>45</v>
      </c>
      <c r="E442" s="3">
        <v>5</v>
      </c>
      <c r="F442" s="3">
        <v>1</v>
      </c>
      <c r="G442" s="3">
        <v>196192</v>
      </c>
    </row>
    <row r="443" spans="1:7">
      <c r="A443" s="3" t="s">
        <v>502</v>
      </c>
      <c r="B443" s="3" t="s">
        <v>44</v>
      </c>
      <c r="C443" s="3" t="s">
        <v>24</v>
      </c>
      <c r="D443" s="3" t="s">
        <v>79</v>
      </c>
      <c r="E443" s="3">
        <v>4</v>
      </c>
      <c r="F443" s="3">
        <v>3</v>
      </c>
      <c r="G443" s="3">
        <v>197523</v>
      </c>
    </row>
    <row r="444" spans="1:7">
      <c r="A444" s="3" t="s">
        <v>503</v>
      </c>
      <c r="B444" s="3" t="s">
        <v>44</v>
      </c>
      <c r="C444" s="3" t="s">
        <v>24</v>
      </c>
      <c r="D444" s="3" t="s">
        <v>174</v>
      </c>
      <c r="E444" s="3">
        <v>3</v>
      </c>
      <c r="F444" s="3">
        <v>1</v>
      </c>
      <c r="G444" s="3">
        <v>96717</v>
      </c>
    </row>
    <row r="445" spans="1:7">
      <c r="A445" s="3" t="s">
        <v>504</v>
      </c>
      <c r="B445" s="3" t="s">
        <v>44</v>
      </c>
      <c r="C445" s="3" t="s">
        <v>24</v>
      </c>
      <c r="D445" s="3" t="s">
        <v>107</v>
      </c>
      <c r="E445" s="3">
        <v>4</v>
      </c>
      <c r="F445" s="3">
        <v>4</v>
      </c>
      <c r="G445" s="3">
        <v>206856</v>
      </c>
    </row>
    <row r="446" spans="1:7">
      <c r="A446" s="3" t="s">
        <v>505</v>
      </c>
      <c r="B446" s="3" t="s">
        <v>44</v>
      </c>
      <c r="C446" s="3" t="s">
        <v>24</v>
      </c>
      <c r="D446" s="3" t="s">
        <v>76</v>
      </c>
      <c r="E446" s="3">
        <v>4</v>
      </c>
      <c r="F446" s="3">
        <v>3</v>
      </c>
      <c r="G446" s="3">
        <v>208865</v>
      </c>
    </row>
    <row r="447" spans="1:7">
      <c r="A447" s="3" t="s">
        <v>506</v>
      </c>
      <c r="B447" s="3" t="s">
        <v>44</v>
      </c>
      <c r="C447" s="3" t="s">
        <v>24</v>
      </c>
      <c r="D447" s="3" t="s">
        <v>72</v>
      </c>
      <c r="E447" s="3">
        <v>3</v>
      </c>
      <c r="F447" s="3">
        <v>1</v>
      </c>
      <c r="G447" s="3">
        <v>103672</v>
      </c>
    </row>
    <row r="448" spans="1:7">
      <c r="A448" s="3" t="s">
        <v>507</v>
      </c>
      <c r="B448" s="3" t="s">
        <v>44</v>
      </c>
      <c r="C448" s="3" t="s">
        <v>24</v>
      </c>
      <c r="D448" s="3" t="s">
        <v>508</v>
      </c>
      <c r="E448" s="3">
        <v>4</v>
      </c>
      <c r="F448" s="3">
        <v>4</v>
      </c>
      <c r="G448" s="3">
        <v>186720</v>
      </c>
    </row>
    <row r="449" spans="1:7">
      <c r="A449" s="3" t="s">
        <v>509</v>
      </c>
      <c r="B449" s="3" t="s">
        <v>44</v>
      </c>
      <c r="C449" s="3" t="s">
        <v>24</v>
      </c>
      <c r="D449" s="3" t="s">
        <v>79</v>
      </c>
      <c r="E449" s="3">
        <v>3</v>
      </c>
      <c r="F449" s="3">
        <v>1</v>
      </c>
      <c r="G449" s="3">
        <v>135875</v>
      </c>
    </row>
    <row r="450" spans="1:7">
      <c r="A450" s="3" t="s">
        <v>510</v>
      </c>
      <c r="B450" s="3" t="s">
        <v>44</v>
      </c>
      <c r="C450" s="3" t="s">
        <v>24</v>
      </c>
      <c r="D450" s="3" t="s">
        <v>62</v>
      </c>
      <c r="E450" s="3">
        <v>5</v>
      </c>
      <c r="F450" s="3">
        <v>4</v>
      </c>
      <c r="G450" s="3">
        <v>241439</v>
      </c>
    </row>
    <row r="451" spans="1:7">
      <c r="A451" s="3" t="s">
        <v>511</v>
      </c>
      <c r="B451" s="3" t="s">
        <v>44</v>
      </c>
      <c r="C451" s="3" t="s">
        <v>24</v>
      </c>
      <c r="D451" s="3" t="s">
        <v>107</v>
      </c>
      <c r="E451" s="3">
        <v>4</v>
      </c>
      <c r="F451" s="3">
        <v>3</v>
      </c>
      <c r="G451" s="3">
        <v>206914</v>
      </c>
    </row>
    <row r="452" spans="1:7">
      <c r="A452" s="3" t="s">
        <v>512</v>
      </c>
      <c r="B452" s="3" t="s">
        <v>44</v>
      </c>
      <c r="C452" s="3" t="s">
        <v>24</v>
      </c>
      <c r="D452" s="3" t="s">
        <v>107</v>
      </c>
      <c r="E452" s="3">
        <v>3</v>
      </c>
      <c r="F452" s="3">
        <v>2</v>
      </c>
      <c r="G452" s="3">
        <v>119178</v>
      </c>
    </row>
    <row r="453" spans="1:7">
      <c r="A453" s="3" t="s">
        <v>513</v>
      </c>
      <c r="B453" s="3" t="s">
        <v>44</v>
      </c>
      <c r="C453" s="3" t="s">
        <v>24</v>
      </c>
      <c r="D453" s="3" t="s">
        <v>59</v>
      </c>
      <c r="E453" s="3">
        <v>3</v>
      </c>
      <c r="F453" s="3">
        <v>1</v>
      </c>
      <c r="G453" s="3">
        <v>130345</v>
      </c>
    </row>
    <row r="454" spans="1:7">
      <c r="A454" s="3" t="s">
        <v>514</v>
      </c>
      <c r="B454" s="3" t="s">
        <v>44</v>
      </c>
      <c r="C454" s="3" t="s">
        <v>24</v>
      </c>
      <c r="D454" s="3" t="s">
        <v>79</v>
      </c>
      <c r="E454" s="3">
        <v>5</v>
      </c>
      <c r="F454" s="3">
        <v>2</v>
      </c>
      <c r="G454" s="3">
        <v>233252</v>
      </c>
    </row>
    <row r="455" spans="1:7">
      <c r="A455" s="3" t="s">
        <v>515</v>
      </c>
      <c r="B455" s="3" t="s">
        <v>44</v>
      </c>
      <c r="C455" s="3" t="s">
        <v>24</v>
      </c>
      <c r="D455" s="3" t="s">
        <v>79</v>
      </c>
      <c r="E455" s="3">
        <v>5</v>
      </c>
      <c r="F455" s="3">
        <v>5</v>
      </c>
      <c r="G455" s="3">
        <v>259410</v>
      </c>
    </row>
    <row r="456" spans="1:7">
      <c r="A456" s="3" t="s">
        <v>516</v>
      </c>
      <c r="B456" s="3" t="s">
        <v>44</v>
      </c>
      <c r="C456" s="3" t="s">
        <v>24</v>
      </c>
      <c r="D456" s="3" t="s">
        <v>79</v>
      </c>
      <c r="E456" s="3">
        <v>4</v>
      </c>
      <c r="F456" s="3">
        <v>2</v>
      </c>
      <c r="G456" s="3">
        <v>151148</v>
      </c>
    </row>
    <row r="457" spans="1:7">
      <c r="A457" s="3" t="s">
        <v>517</v>
      </c>
      <c r="B457" s="3" t="s">
        <v>44</v>
      </c>
      <c r="C457" s="3" t="s">
        <v>24</v>
      </c>
      <c r="D457" s="3" t="s">
        <v>79</v>
      </c>
      <c r="E457" s="3">
        <v>5</v>
      </c>
      <c r="F457" s="3">
        <v>1</v>
      </c>
      <c r="G457" s="3">
        <v>168348</v>
      </c>
    </row>
    <row r="458" spans="1:7">
      <c r="A458" s="3" t="s">
        <v>518</v>
      </c>
      <c r="B458" s="3" t="s">
        <v>44</v>
      </c>
      <c r="C458" s="3" t="s">
        <v>24</v>
      </c>
      <c r="D458" s="3" t="s">
        <v>174</v>
      </c>
      <c r="E458" s="3">
        <v>4</v>
      </c>
      <c r="F458" s="3">
        <v>1</v>
      </c>
      <c r="G458" s="3">
        <v>132978</v>
      </c>
    </row>
    <row r="459" spans="1:7">
      <c r="A459" s="3" t="s">
        <v>519</v>
      </c>
      <c r="B459" s="3" t="s">
        <v>44</v>
      </c>
      <c r="C459" s="3" t="s">
        <v>24</v>
      </c>
      <c r="D459" s="3" t="s">
        <v>81</v>
      </c>
      <c r="E459" s="3">
        <v>5</v>
      </c>
      <c r="F459" s="3">
        <v>5</v>
      </c>
      <c r="G459" s="3">
        <v>298595</v>
      </c>
    </row>
    <row r="460" spans="1:7">
      <c r="A460" s="3" t="s">
        <v>520</v>
      </c>
      <c r="B460" s="3" t="s">
        <v>44</v>
      </c>
      <c r="C460" s="3" t="s">
        <v>24</v>
      </c>
      <c r="D460" s="3" t="s">
        <v>59</v>
      </c>
      <c r="E460" s="3">
        <v>4</v>
      </c>
      <c r="F460" s="3">
        <v>3</v>
      </c>
      <c r="G460" s="3">
        <v>186069</v>
      </c>
    </row>
    <row r="461" spans="1:7">
      <c r="A461" s="3" t="s">
        <v>521</v>
      </c>
      <c r="B461" s="3" t="s">
        <v>44</v>
      </c>
      <c r="C461" s="3" t="s">
        <v>24</v>
      </c>
      <c r="D461" s="3" t="s">
        <v>59</v>
      </c>
      <c r="E461" s="3">
        <v>4</v>
      </c>
      <c r="F461" s="3">
        <v>3</v>
      </c>
      <c r="G461" s="3">
        <v>218588</v>
      </c>
    </row>
    <row r="462" spans="1:7">
      <c r="A462" s="3" t="s">
        <v>522</v>
      </c>
      <c r="B462" s="3" t="s">
        <v>44</v>
      </c>
      <c r="C462" s="3" t="s">
        <v>24</v>
      </c>
      <c r="D462" s="3" t="s">
        <v>72</v>
      </c>
      <c r="E462" s="3">
        <v>2</v>
      </c>
      <c r="F462" s="3">
        <v>2</v>
      </c>
      <c r="G462" s="3">
        <v>101338</v>
      </c>
    </row>
    <row r="463" spans="1:7">
      <c r="A463" s="3" t="s">
        <v>523</v>
      </c>
      <c r="B463" s="3" t="s">
        <v>44</v>
      </c>
      <c r="C463" s="3" t="s">
        <v>24</v>
      </c>
      <c r="D463" s="3" t="s">
        <v>79</v>
      </c>
      <c r="E463" s="3">
        <v>4</v>
      </c>
      <c r="F463" s="3">
        <v>3</v>
      </c>
      <c r="G463" s="3">
        <v>170165</v>
      </c>
    </row>
    <row r="464" spans="1:7">
      <c r="A464" s="3" t="s">
        <v>524</v>
      </c>
      <c r="B464" s="3" t="s">
        <v>44</v>
      </c>
      <c r="C464" s="3" t="s">
        <v>24</v>
      </c>
      <c r="D464" s="3" t="s">
        <v>79</v>
      </c>
      <c r="E464" s="3">
        <v>2</v>
      </c>
      <c r="F464" s="3">
        <v>1</v>
      </c>
      <c r="G464" s="3">
        <v>87741</v>
      </c>
    </row>
    <row r="465" spans="1:7">
      <c r="A465" s="3" t="s">
        <v>525</v>
      </c>
      <c r="B465" s="3" t="s">
        <v>44</v>
      </c>
      <c r="C465" s="3" t="s">
        <v>24</v>
      </c>
      <c r="D465" s="3" t="s">
        <v>72</v>
      </c>
      <c r="E465" s="3">
        <v>3</v>
      </c>
      <c r="F465" s="3">
        <v>2</v>
      </c>
      <c r="G465" s="3">
        <v>158071</v>
      </c>
    </row>
    <row r="466" spans="1:7">
      <c r="A466" s="3" t="s">
        <v>526</v>
      </c>
      <c r="B466" s="3" t="s">
        <v>44</v>
      </c>
      <c r="C466" s="3" t="s">
        <v>24</v>
      </c>
      <c r="D466" s="3" t="s">
        <v>79</v>
      </c>
      <c r="E466" s="3">
        <v>3</v>
      </c>
      <c r="F466" s="3">
        <v>3</v>
      </c>
      <c r="G466" s="3">
        <v>151278</v>
      </c>
    </row>
    <row r="467" spans="1:7">
      <c r="A467" s="3" t="s">
        <v>527</v>
      </c>
      <c r="B467" s="3" t="s">
        <v>44</v>
      </c>
      <c r="C467" s="3" t="s">
        <v>24</v>
      </c>
      <c r="D467" s="3" t="s">
        <v>79</v>
      </c>
      <c r="E467" s="3">
        <v>3</v>
      </c>
      <c r="F467" s="3">
        <v>2</v>
      </c>
      <c r="G467" s="3">
        <v>141474</v>
      </c>
    </row>
    <row r="468" spans="1:7">
      <c r="A468" s="3" t="s">
        <v>528</v>
      </c>
      <c r="B468" s="3" t="s">
        <v>44</v>
      </c>
      <c r="C468" s="3" t="s">
        <v>24</v>
      </c>
      <c r="D468" s="3" t="s">
        <v>59</v>
      </c>
      <c r="E468" s="3">
        <v>5</v>
      </c>
      <c r="F468" s="3">
        <v>3</v>
      </c>
      <c r="G468" s="3">
        <v>241201</v>
      </c>
    </row>
    <row r="469" spans="1:7">
      <c r="A469" s="3" t="s">
        <v>529</v>
      </c>
      <c r="B469" s="3" t="s">
        <v>44</v>
      </c>
      <c r="C469" s="3" t="s">
        <v>24</v>
      </c>
      <c r="D469" s="3" t="s">
        <v>51</v>
      </c>
      <c r="E469" s="3">
        <v>2</v>
      </c>
      <c r="F469" s="3">
        <v>1</v>
      </c>
      <c r="G469" s="3">
        <v>74024</v>
      </c>
    </row>
    <row r="470" spans="1:7">
      <c r="A470" s="3" t="s">
        <v>530</v>
      </c>
      <c r="B470" s="3" t="s">
        <v>44</v>
      </c>
      <c r="C470" s="3" t="s">
        <v>24</v>
      </c>
      <c r="D470" s="3" t="s">
        <v>65</v>
      </c>
      <c r="E470" s="3">
        <v>3</v>
      </c>
      <c r="F470" s="3">
        <v>2</v>
      </c>
      <c r="G470" s="3">
        <v>135840</v>
      </c>
    </row>
    <row r="471" spans="1:7">
      <c r="A471" s="3" t="s">
        <v>531</v>
      </c>
      <c r="B471" s="3" t="s">
        <v>44</v>
      </c>
      <c r="C471" s="3" t="s">
        <v>24</v>
      </c>
      <c r="D471" s="3" t="s">
        <v>96</v>
      </c>
      <c r="E471" s="3">
        <v>2</v>
      </c>
      <c r="F471" s="3">
        <v>2</v>
      </c>
      <c r="G471" s="3">
        <v>103204</v>
      </c>
    </row>
    <row r="472" spans="1:7">
      <c r="A472" s="3" t="s">
        <v>532</v>
      </c>
      <c r="B472" s="3" t="s">
        <v>533</v>
      </c>
      <c r="C472" s="3" t="s">
        <v>24</v>
      </c>
      <c r="D472" s="3" t="s">
        <v>534</v>
      </c>
      <c r="E472" s="3">
        <v>5</v>
      </c>
      <c r="F472" s="3">
        <v>3</v>
      </c>
      <c r="G472" s="3">
        <v>247136</v>
      </c>
    </row>
    <row r="473" spans="1:7">
      <c r="A473" s="3" t="s">
        <v>535</v>
      </c>
      <c r="B473" s="3" t="s">
        <v>536</v>
      </c>
      <c r="C473" s="3" t="s">
        <v>24</v>
      </c>
      <c r="D473" s="3" t="s">
        <v>537</v>
      </c>
      <c r="E473" s="3">
        <v>4</v>
      </c>
      <c r="F473" s="3">
        <v>4</v>
      </c>
      <c r="G473" s="3">
        <v>212968</v>
      </c>
    </row>
    <row r="474" spans="1:7">
      <c r="A474" s="3" t="s">
        <v>538</v>
      </c>
      <c r="B474" s="3" t="s">
        <v>539</v>
      </c>
      <c r="C474" s="3" t="s">
        <v>24</v>
      </c>
      <c r="D474" s="3" t="s">
        <v>540</v>
      </c>
      <c r="E474" s="3">
        <v>5</v>
      </c>
      <c r="F474" s="3">
        <v>2</v>
      </c>
      <c r="G474" s="3">
        <v>185700</v>
      </c>
    </row>
    <row r="475" spans="1:7">
      <c r="A475" s="3" t="s">
        <v>541</v>
      </c>
      <c r="B475" s="3" t="s">
        <v>542</v>
      </c>
      <c r="C475" s="3" t="s">
        <v>24</v>
      </c>
      <c r="D475" s="3" t="s">
        <v>543</v>
      </c>
      <c r="E475" s="3">
        <v>3</v>
      </c>
      <c r="F475" s="3">
        <v>1</v>
      </c>
      <c r="G475" s="3">
        <v>96498</v>
      </c>
    </row>
    <row r="476" spans="1:7">
      <c r="A476" s="3" t="s">
        <v>544</v>
      </c>
      <c r="B476" s="3" t="s">
        <v>545</v>
      </c>
      <c r="C476" s="3" t="s">
        <v>24</v>
      </c>
      <c r="D476" s="3" t="s">
        <v>546</v>
      </c>
      <c r="E476" s="3">
        <v>2</v>
      </c>
      <c r="F476" s="3">
        <v>2</v>
      </c>
      <c r="G476" s="3">
        <v>115936</v>
      </c>
    </row>
    <row r="477" spans="1:7">
      <c r="A477" s="3" t="s">
        <v>547</v>
      </c>
      <c r="B477" s="3" t="s">
        <v>545</v>
      </c>
      <c r="C477" s="3" t="s">
        <v>24</v>
      </c>
      <c r="D477" s="3" t="s">
        <v>546</v>
      </c>
      <c r="E477" s="3">
        <v>2</v>
      </c>
      <c r="F477" s="3">
        <v>2</v>
      </c>
      <c r="G477" s="3">
        <v>109248</v>
      </c>
    </row>
    <row r="478" spans="1:7">
      <c r="A478" s="3" t="s">
        <v>548</v>
      </c>
      <c r="B478" s="3" t="s">
        <v>545</v>
      </c>
      <c r="C478" s="3" t="s">
        <v>24</v>
      </c>
      <c r="D478" s="3" t="s">
        <v>549</v>
      </c>
      <c r="E478" s="3">
        <v>4</v>
      </c>
      <c r="F478" s="3">
        <v>4</v>
      </c>
      <c r="G478" s="3">
        <v>182412</v>
      </c>
    </row>
    <row r="479" spans="1:7">
      <c r="A479" s="3" t="s">
        <v>550</v>
      </c>
      <c r="B479" s="3" t="s">
        <v>545</v>
      </c>
      <c r="C479" s="3" t="s">
        <v>24</v>
      </c>
      <c r="D479" s="3" t="s">
        <v>549</v>
      </c>
      <c r="E479" s="3">
        <v>4</v>
      </c>
      <c r="F479" s="3">
        <v>1</v>
      </c>
      <c r="G479" s="3">
        <v>170857</v>
      </c>
    </row>
    <row r="480" spans="1:7">
      <c r="A480" s="3" t="s">
        <v>551</v>
      </c>
      <c r="B480" s="3" t="s">
        <v>545</v>
      </c>
      <c r="C480" s="3" t="s">
        <v>24</v>
      </c>
      <c r="D480" s="3" t="s">
        <v>549</v>
      </c>
      <c r="E480" s="3">
        <v>4</v>
      </c>
      <c r="F480" s="3">
        <v>3</v>
      </c>
      <c r="G480" s="3">
        <v>213556</v>
      </c>
    </row>
    <row r="481" spans="1:7">
      <c r="A481" s="3" t="s">
        <v>552</v>
      </c>
      <c r="B481" s="3" t="s">
        <v>545</v>
      </c>
      <c r="C481" s="3" t="s">
        <v>24</v>
      </c>
      <c r="D481" s="3" t="s">
        <v>549</v>
      </c>
      <c r="E481" s="3">
        <v>3</v>
      </c>
      <c r="F481" s="3">
        <v>2</v>
      </c>
      <c r="G481" s="3">
        <v>153474</v>
      </c>
    </row>
    <row r="482" spans="1:7">
      <c r="A482" s="3" t="s">
        <v>553</v>
      </c>
      <c r="B482" s="3" t="s">
        <v>545</v>
      </c>
      <c r="C482" s="3" t="s">
        <v>24</v>
      </c>
      <c r="D482" s="3" t="s">
        <v>546</v>
      </c>
      <c r="E482" s="3">
        <v>4</v>
      </c>
      <c r="F482" s="3">
        <v>3</v>
      </c>
      <c r="G482" s="3">
        <v>213690</v>
      </c>
    </row>
    <row r="483" spans="1:7">
      <c r="A483" s="3" t="s">
        <v>554</v>
      </c>
      <c r="B483" s="3" t="s">
        <v>545</v>
      </c>
      <c r="C483" s="3" t="s">
        <v>24</v>
      </c>
      <c r="D483" s="3" t="s">
        <v>546</v>
      </c>
      <c r="E483" s="3">
        <v>2</v>
      </c>
      <c r="F483" s="3">
        <v>1</v>
      </c>
      <c r="G483" s="3">
        <v>86824</v>
      </c>
    </row>
    <row r="484" spans="1:7">
      <c r="A484" s="3" t="s">
        <v>555</v>
      </c>
      <c r="B484" s="3" t="s">
        <v>545</v>
      </c>
      <c r="C484" s="3" t="s">
        <v>24</v>
      </c>
      <c r="D484" s="3" t="s">
        <v>546</v>
      </c>
      <c r="E484" s="3">
        <v>3</v>
      </c>
      <c r="F484" s="3">
        <v>1</v>
      </c>
      <c r="G484" s="3">
        <v>130752</v>
      </c>
    </row>
    <row r="485" spans="1:7">
      <c r="A485" s="3" t="s">
        <v>556</v>
      </c>
      <c r="B485" s="3" t="s">
        <v>545</v>
      </c>
      <c r="C485" s="3" t="s">
        <v>24</v>
      </c>
      <c r="D485" s="3" t="s">
        <v>546</v>
      </c>
      <c r="E485" s="3">
        <v>4</v>
      </c>
      <c r="F485" s="3">
        <v>2</v>
      </c>
      <c r="G485" s="3">
        <v>148256</v>
      </c>
    </row>
    <row r="486" spans="1:7">
      <c r="A486" s="3" t="s">
        <v>557</v>
      </c>
      <c r="B486" s="3" t="s">
        <v>545</v>
      </c>
      <c r="C486" s="3" t="s">
        <v>24</v>
      </c>
      <c r="D486" s="3" t="s">
        <v>546</v>
      </c>
      <c r="E486" s="3">
        <v>4</v>
      </c>
      <c r="F486" s="3">
        <v>2</v>
      </c>
      <c r="G486" s="3">
        <v>188850</v>
      </c>
    </row>
    <row r="487" spans="1:7">
      <c r="A487" s="3" t="s">
        <v>558</v>
      </c>
      <c r="B487" s="3" t="s">
        <v>545</v>
      </c>
      <c r="C487" s="3" t="s">
        <v>24</v>
      </c>
      <c r="D487" s="3" t="s">
        <v>546</v>
      </c>
      <c r="E487" s="3">
        <v>3</v>
      </c>
      <c r="F487" s="3">
        <v>1</v>
      </c>
      <c r="G487" s="3">
        <v>114811</v>
      </c>
    </row>
    <row r="488" spans="1:7">
      <c r="A488" s="3" t="s">
        <v>559</v>
      </c>
      <c r="B488" s="3" t="s">
        <v>545</v>
      </c>
      <c r="C488" s="3" t="s">
        <v>24</v>
      </c>
      <c r="D488" s="3" t="s">
        <v>546</v>
      </c>
      <c r="E488" s="3">
        <v>2</v>
      </c>
      <c r="F488" s="3">
        <v>1</v>
      </c>
      <c r="G488" s="3">
        <v>74698</v>
      </c>
    </row>
    <row r="489" spans="1:7">
      <c r="A489" s="3" t="s">
        <v>560</v>
      </c>
      <c r="B489" s="3" t="s">
        <v>545</v>
      </c>
      <c r="C489" s="3" t="s">
        <v>24</v>
      </c>
      <c r="D489" s="3" t="s">
        <v>546</v>
      </c>
      <c r="E489" s="3">
        <v>5</v>
      </c>
      <c r="F489" s="3">
        <v>2</v>
      </c>
      <c r="G489" s="3">
        <v>181316</v>
      </c>
    </row>
    <row r="490" spans="1:7">
      <c r="A490" s="3" t="s">
        <v>561</v>
      </c>
      <c r="B490" s="3" t="s">
        <v>545</v>
      </c>
      <c r="C490" s="3" t="s">
        <v>24</v>
      </c>
      <c r="D490" s="3" t="s">
        <v>549</v>
      </c>
      <c r="E490" s="3">
        <v>3</v>
      </c>
      <c r="F490" s="3">
        <v>3</v>
      </c>
      <c r="G490" s="3">
        <v>164214</v>
      </c>
    </row>
    <row r="491" spans="1:7">
      <c r="A491" s="3" t="s">
        <v>562</v>
      </c>
      <c r="B491" s="3" t="s">
        <v>545</v>
      </c>
      <c r="C491" s="3" t="s">
        <v>24</v>
      </c>
      <c r="D491" s="3" t="s">
        <v>546</v>
      </c>
      <c r="E491" s="3">
        <v>2</v>
      </c>
      <c r="F491" s="3">
        <v>2</v>
      </c>
      <c r="G491" s="3">
        <v>118138</v>
      </c>
    </row>
    <row r="492" spans="1:7">
      <c r="A492" s="3" t="s">
        <v>563</v>
      </c>
      <c r="B492" s="3" t="s">
        <v>545</v>
      </c>
      <c r="C492" s="3" t="s">
        <v>24</v>
      </c>
      <c r="D492" s="3" t="s">
        <v>546</v>
      </c>
      <c r="E492" s="3">
        <v>3</v>
      </c>
      <c r="F492" s="3">
        <v>1</v>
      </c>
      <c r="G492" s="3">
        <v>104177</v>
      </c>
    </row>
    <row r="493" spans="1:7">
      <c r="A493" s="3" t="s">
        <v>564</v>
      </c>
      <c r="B493" s="3" t="s">
        <v>545</v>
      </c>
      <c r="C493" s="3" t="s">
        <v>24</v>
      </c>
      <c r="D493" s="3" t="s">
        <v>546</v>
      </c>
      <c r="E493" s="3">
        <v>2</v>
      </c>
      <c r="F493" s="3">
        <v>1</v>
      </c>
      <c r="G493" s="3">
        <v>92446</v>
      </c>
    </row>
    <row r="494" spans="1:7">
      <c r="A494" s="3" t="s">
        <v>565</v>
      </c>
      <c r="B494" s="3" t="s">
        <v>545</v>
      </c>
      <c r="C494" s="3" t="s">
        <v>24</v>
      </c>
      <c r="D494" s="3" t="s">
        <v>546</v>
      </c>
      <c r="E494" s="3">
        <v>4</v>
      </c>
      <c r="F494" s="3">
        <v>4</v>
      </c>
      <c r="G494" s="3">
        <v>210268</v>
      </c>
    </row>
    <row r="495" spans="1:7">
      <c r="A495" s="3" t="s">
        <v>566</v>
      </c>
      <c r="B495" s="3" t="s">
        <v>545</v>
      </c>
      <c r="C495" s="3" t="s">
        <v>24</v>
      </c>
      <c r="D495" s="3" t="s">
        <v>546</v>
      </c>
      <c r="E495" s="3">
        <v>3</v>
      </c>
      <c r="F495" s="3">
        <v>1</v>
      </c>
      <c r="G495" s="3">
        <v>116330</v>
      </c>
    </row>
    <row r="496" spans="1:7">
      <c r="A496" s="3" t="s">
        <v>567</v>
      </c>
      <c r="B496" s="3" t="s">
        <v>545</v>
      </c>
      <c r="C496" s="3" t="s">
        <v>24</v>
      </c>
      <c r="D496" s="3" t="s">
        <v>549</v>
      </c>
      <c r="E496" s="3">
        <v>5</v>
      </c>
      <c r="F496" s="3">
        <v>5</v>
      </c>
      <c r="G496" s="3">
        <v>263505</v>
      </c>
    </row>
    <row r="497" spans="1:7">
      <c r="A497" s="3" t="s">
        <v>568</v>
      </c>
      <c r="B497" s="3" t="s">
        <v>545</v>
      </c>
      <c r="C497" s="3" t="s">
        <v>24</v>
      </c>
      <c r="D497" s="3" t="s">
        <v>546</v>
      </c>
      <c r="E497" s="3">
        <v>5</v>
      </c>
      <c r="F497" s="3">
        <v>1</v>
      </c>
      <c r="G497" s="3">
        <v>168920</v>
      </c>
    </row>
    <row r="498" spans="1:7">
      <c r="A498" s="3" t="s">
        <v>569</v>
      </c>
      <c r="B498" s="3" t="s">
        <v>545</v>
      </c>
      <c r="C498" s="3" t="s">
        <v>24</v>
      </c>
      <c r="D498" s="3" t="s">
        <v>156</v>
      </c>
      <c r="E498" s="3">
        <v>4</v>
      </c>
      <c r="F498" s="3">
        <v>2</v>
      </c>
      <c r="G498" s="3">
        <v>189304</v>
      </c>
    </row>
    <row r="499" spans="1:7">
      <c r="A499" s="3" t="s">
        <v>570</v>
      </c>
      <c r="B499" s="3" t="s">
        <v>545</v>
      </c>
      <c r="C499" s="3" t="s">
        <v>24</v>
      </c>
      <c r="D499" s="3" t="s">
        <v>156</v>
      </c>
      <c r="E499" s="3">
        <v>4</v>
      </c>
      <c r="F499" s="3">
        <v>4</v>
      </c>
      <c r="G499" s="3">
        <v>225520</v>
      </c>
    </row>
    <row r="500" spans="1:7">
      <c r="A500" s="3" t="s">
        <v>571</v>
      </c>
      <c r="B500" s="3" t="s">
        <v>545</v>
      </c>
      <c r="C500" s="3" t="s">
        <v>24</v>
      </c>
      <c r="D500" s="3" t="s">
        <v>549</v>
      </c>
      <c r="E500" s="3">
        <v>4</v>
      </c>
      <c r="F500" s="3">
        <v>1</v>
      </c>
      <c r="G500" s="3">
        <v>127880</v>
      </c>
    </row>
    <row r="501" spans="1:7">
      <c r="A501" s="3" t="s">
        <v>572</v>
      </c>
      <c r="B501" s="3" t="s">
        <v>545</v>
      </c>
      <c r="C501" s="3" t="s">
        <v>24</v>
      </c>
      <c r="D501" s="3" t="s">
        <v>546</v>
      </c>
      <c r="E501" s="3">
        <v>5</v>
      </c>
      <c r="F501" s="3">
        <v>4</v>
      </c>
      <c r="G501" s="3">
        <v>220194</v>
      </c>
    </row>
    <row r="502" spans="1:7">
      <c r="A502" s="3" t="s">
        <v>573</v>
      </c>
      <c r="B502" s="3" t="s">
        <v>574</v>
      </c>
      <c r="C502" s="3" t="s">
        <v>24</v>
      </c>
      <c r="D502" s="3" t="s">
        <v>575</v>
      </c>
      <c r="E502" s="3">
        <v>5</v>
      </c>
      <c r="F502" s="3">
        <v>5</v>
      </c>
      <c r="G502" s="3">
        <v>307130</v>
      </c>
    </row>
    <row r="503" spans="1:7">
      <c r="A503" s="3" t="s">
        <v>576</v>
      </c>
      <c r="B503" s="3" t="s">
        <v>574</v>
      </c>
      <c r="C503" s="3" t="s">
        <v>24</v>
      </c>
      <c r="D503" s="3" t="s">
        <v>575</v>
      </c>
      <c r="E503" s="3">
        <v>5</v>
      </c>
      <c r="F503" s="3">
        <v>1</v>
      </c>
      <c r="G503" s="3">
        <v>213687</v>
      </c>
    </row>
    <row r="504" spans="1:7">
      <c r="A504" s="3" t="s">
        <v>577</v>
      </c>
      <c r="B504" s="3" t="s">
        <v>574</v>
      </c>
      <c r="C504" s="3" t="s">
        <v>24</v>
      </c>
      <c r="D504" s="3" t="s">
        <v>575</v>
      </c>
      <c r="E504" s="3">
        <v>5</v>
      </c>
      <c r="F504" s="3">
        <v>1</v>
      </c>
      <c r="G504" s="3">
        <v>164224</v>
      </c>
    </row>
    <row r="505" spans="1:7">
      <c r="A505" s="3" t="s">
        <v>578</v>
      </c>
      <c r="B505" s="3" t="s">
        <v>574</v>
      </c>
      <c r="C505" s="3" t="s">
        <v>24</v>
      </c>
      <c r="D505" s="3" t="s">
        <v>575</v>
      </c>
      <c r="E505" s="3">
        <v>2</v>
      </c>
      <c r="F505" s="3">
        <v>2</v>
      </c>
      <c r="G505" s="3">
        <v>107834</v>
      </c>
    </row>
    <row r="506" spans="1:7">
      <c r="A506" s="3" t="s">
        <v>579</v>
      </c>
      <c r="B506" s="3" t="s">
        <v>574</v>
      </c>
      <c r="C506" s="3" t="s">
        <v>24</v>
      </c>
      <c r="D506" s="3" t="s">
        <v>575</v>
      </c>
      <c r="E506" s="3">
        <v>2</v>
      </c>
      <c r="F506" s="3">
        <v>1</v>
      </c>
      <c r="G506" s="3">
        <v>80973</v>
      </c>
    </row>
    <row r="507" spans="1:7">
      <c r="A507" s="3" t="s">
        <v>580</v>
      </c>
      <c r="B507" s="3" t="s">
        <v>574</v>
      </c>
      <c r="C507" s="3" t="s">
        <v>24</v>
      </c>
      <c r="D507" s="3" t="s">
        <v>575</v>
      </c>
      <c r="E507" s="3">
        <v>4</v>
      </c>
      <c r="F507" s="3">
        <v>2</v>
      </c>
      <c r="G507" s="3">
        <v>152404</v>
      </c>
    </row>
    <row r="508" spans="1:7">
      <c r="A508" s="3" t="s">
        <v>581</v>
      </c>
      <c r="B508" s="3" t="s">
        <v>574</v>
      </c>
      <c r="C508" s="3" t="s">
        <v>24</v>
      </c>
      <c r="D508" s="3" t="s">
        <v>575</v>
      </c>
      <c r="E508" s="3">
        <v>5</v>
      </c>
      <c r="F508" s="3">
        <v>2</v>
      </c>
      <c r="G508" s="3">
        <v>237352</v>
      </c>
    </row>
    <row r="509" spans="1:7">
      <c r="A509" s="3" t="s">
        <v>582</v>
      </c>
      <c r="B509" s="3" t="s">
        <v>574</v>
      </c>
      <c r="C509" s="3" t="s">
        <v>24</v>
      </c>
      <c r="D509" s="3" t="s">
        <v>575</v>
      </c>
      <c r="E509" s="3">
        <v>3</v>
      </c>
      <c r="F509" s="3">
        <v>2</v>
      </c>
      <c r="G509" s="3">
        <v>146808</v>
      </c>
    </row>
    <row r="510" spans="1:7">
      <c r="A510" s="3" t="s">
        <v>583</v>
      </c>
      <c r="B510" s="3" t="s">
        <v>584</v>
      </c>
      <c r="C510" s="3" t="s">
        <v>24</v>
      </c>
      <c r="D510" s="3" t="s">
        <v>585</v>
      </c>
      <c r="E510" s="3">
        <v>5</v>
      </c>
      <c r="F510" s="3">
        <v>3</v>
      </c>
      <c r="G510" s="3">
        <v>239633</v>
      </c>
    </row>
    <row r="511" spans="1:7">
      <c r="A511" s="3" t="s">
        <v>586</v>
      </c>
      <c r="B511" s="3" t="s">
        <v>584</v>
      </c>
      <c r="C511" s="3" t="s">
        <v>24</v>
      </c>
      <c r="D511" s="3" t="s">
        <v>585</v>
      </c>
      <c r="E511" s="3">
        <v>3</v>
      </c>
      <c r="F511" s="3">
        <v>1</v>
      </c>
      <c r="G511" s="3">
        <v>106904</v>
      </c>
    </row>
    <row r="512" spans="1:7">
      <c r="A512" s="3" t="s">
        <v>587</v>
      </c>
      <c r="B512" s="3" t="s">
        <v>584</v>
      </c>
      <c r="C512" s="3" t="s">
        <v>24</v>
      </c>
      <c r="D512" s="3" t="s">
        <v>585</v>
      </c>
      <c r="E512" s="3">
        <v>5</v>
      </c>
      <c r="F512" s="3">
        <v>2</v>
      </c>
      <c r="G512" s="3">
        <v>233739</v>
      </c>
    </row>
    <row r="513" spans="1:7">
      <c r="A513" s="3" t="s">
        <v>588</v>
      </c>
      <c r="B513" s="3" t="s">
        <v>584</v>
      </c>
      <c r="C513" s="3" t="s">
        <v>24</v>
      </c>
      <c r="D513" s="3" t="s">
        <v>585</v>
      </c>
      <c r="E513" s="3">
        <v>2</v>
      </c>
      <c r="F513" s="3">
        <v>2</v>
      </c>
      <c r="G513" s="3">
        <v>122576</v>
      </c>
    </row>
    <row r="514" spans="1:7">
      <c r="A514" s="3" t="s">
        <v>589</v>
      </c>
      <c r="B514" s="3" t="s">
        <v>590</v>
      </c>
      <c r="C514" s="3" t="s">
        <v>24</v>
      </c>
      <c r="D514" s="3" t="s">
        <v>591</v>
      </c>
      <c r="E514" s="3">
        <v>5</v>
      </c>
      <c r="F514" s="3">
        <v>5</v>
      </c>
      <c r="G514" s="3">
        <v>246565</v>
      </c>
    </row>
    <row r="515" spans="1:7">
      <c r="A515" s="3" t="s">
        <v>592</v>
      </c>
      <c r="B515" s="3" t="s">
        <v>593</v>
      </c>
      <c r="C515" s="3" t="s">
        <v>24</v>
      </c>
      <c r="D515" s="3" t="s">
        <v>594</v>
      </c>
      <c r="E515" s="3">
        <v>4</v>
      </c>
      <c r="F515" s="3">
        <v>1</v>
      </c>
      <c r="G515" s="3">
        <v>161553</v>
      </c>
    </row>
    <row r="516" spans="1:7">
      <c r="A516" s="3" t="s">
        <v>595</v>
      </c>
      <c r="B516" s="3" t="s">
        <v>593</v>
      </c>
      <c r="C516" s="3" t="s">
        <v>24</v>
      </c>
      <c r="D516" s="3" t="s">
        <v>594</v>
      </c>
      <c r="E516" s="3">
        <v>5</v>
      </c>
      <c r="F516" s="3">
        <v>3</v>
      </c>
      <c r="G516" s="3">
        <v>250889</v>
      </c>
    </row>
    <row r="517" spans="1:7">
      <c r="A517" s="3" t="s">
        <v>596</v>
      </c>
      <c r="B517" s="3" t="s">
        <v>597</v>
      </c>
      <c r="C517" s="3" t="s">
        <v>24</v>
      </c>
      <c r="D517" s="3" t="s">
        <v>598</v>
      </c>
      <c r="E517" s="3">
        <v>2</v>
      </c>
      <c r="F517" s="3">
        <v>1</v>
      </c>
      <c r="G517" s="3">
        <v>88062</v>
      </c>
    </row>
    <row r="518" spans="1:7">
      <c r="A518" s="3" t="s">
        <v>599</v>
      </c>
      <c r="B518" s="3" t="s">
        <v>597</v>
      </c>
      <c r="C518" s="3" t="s">
        <v>24</v>
      </c>
      <c r="D518" s="3" t="s">
        <v>598</v>
      </c>
      <c r="E518" s="3">
        <v>3</v>
      </c>
      <c r="F518" s="3">
        <v>1</v>
      </c>
      <c r="G518" s="3">
        <v>130700</v>
      </c>
    </row>
    <row r="519" spans="1:7">
      <c r="A519" s="3" t="s">
        <v>600</v>
      </c>
      <c r="B519" s="3" t="s">
        <v>597</v>
      </c>
      <c r="C519" s="3" t="s">
        <v>24</v>
      </c>
      <c r="D519" s="3" t="s">
        <v>598</v>
      </c>
      <c r="E519" s="3">
        <v>5</v>
      </c>
      <c r="F519" s="3">
        <v>2</v>
      </c>
      <c r="G519" s="3">
        <v>181999</v>
      </c>
    </row>
    <row r="520" spans="1:7">
      <c r="A520" s="3" t="s">
        <v>601</v>
      </c>
      <c r="B520" s="3" t="s">
        <v>602</v>
      </c>
      <c r="C520" s="3" t="s">
        <v>24</v>
      </c>
      <c r="D520" s="3" t="s">
        <v>603</v>
      </c>
      <c r="E520" s="3">
        <v>3</v>
      </c>
      <c r="F520" s="3">
        <v>3</v>
      </c>
      <c r="G520" s="3">
        <v>170622</v>
      </c>
    </row>
    <row r="521" spans="1:7">
      <c r="A521" s="3" t="s">
        <v>604</v>
      </c>
      <c r="B521" s="3" t="s">
        <v>605</v>
      </c>
      <c r="C521" s="3" t="s">
        <v>24</v>
      </c>
      <c r="D521" s="3" t="s">
        <v>606</v>
      </c>
      <c r="E521" s="3">
        <v>4</v>
      </c>
      <c r="F521" s="3">
        <v>1</v>
      </c>
      <c r="G521" s="3">
        <v>136430</v>
      </c>
    </row>
    <row r="522" spans="1:7">
      <c r="A522" s="3" t="s">
        <v>607</v>
      </c>
      <c r="B522" s="3" t="s">
        <v>605</v>
      </c>
      <c r="C522" s="3" t="s">
        <v>24</v>
      </c>
      <c r="D522" s="3" t="s">
        <v>608</v>
      </c>
      <c r="E522" s="3">
        <v>2</v>
      </c>
      <c r="F522" s="3">
        <v>1</v>
      </c>
      <c r="G522" s="3">
        <v>85136</v>
      </c>
    </row>
    <row r="523" spans="1:7">
      <c r="A523" s="3" t="s">
        <v>609</v>
      </c>
      <c r="B523" s="3" t="s">
        <v>605</v>
      </c>
      <c r="C523" s="3" t="s">
        <v>24</v>
      </c>
      <c r="D523" s="3" t="s">
        <v>608</v>
      </c>
      <c r="E523" s="3">
        <v>3</v>
      </c>
      <c r="F523" s="3">
        <v>3</v>
      </c>
      <c r="G523" s="3">
        <v>166968</v>
      </c>
    </row>
    <row r="524" spans="1:7">
      <c r="A524" s="3" t="s">
        <v>610</v>
      </c>
      <c r="B524" s="3" t="s">
        <v>605</v>
      </c>
      <c r="C524" s="3" t="s">
        <v>24</v>
      </c>
      <c r="D524" s="3" t="s">
        <v>611</v>
      </c>
      <c r="E524" s="3">
        <v>4</v>
      </c>
      <c r="F524" s="3">
        <v>2</v>
      </c>
      <c r="G524" s="3">
        <v>150000</v>
      </c>
    </row>
    <row r="525" spans="1:7">
      <c r="A525" s="3" t="s">
        <v>612</v>
      </c>
      <c r="B525" s="3" t="s">
        <v>605</v>
      </c>
      <c r="C525" s="3" t="s">
        <v>24</v>
      </c>
      <c r="D525" s="3" t="s">
        <v>608</v>
      </c>
      <c r="E525" s="3">
        <v>3</v>
      </c>
      <c r="F525" s="3">
        <v>2</v>
      </c>
      <c r="G525" s="3">
        <v>132407</v>
      </c>
    </row>
    <row r="526" spans="1:7">
      <c r="A526" s="3" t="s">
        <v>613</v>
      </c>
      <c r="B526" s="3" t="s">
        <v>605</v>
      </c>
      <c r="C526" s="3" t="s">
        <v>24</v>
      </c>
      <c r="D526" s="3" t="s">
        <v>608</v>
      </c>
      <c r="E526" s="3">
        <v>5</v>
      </c>
      <c r="F526" s="3">
        <v>5</v>
      </c>
      <c r="G526" s="3">
        <v>259300</v>
      </c>
    </row>
    <row r="527" spans="1:7">
      <c r="A527" s="3" t="s">
        <v>614</v>
      </c>
      <c r="B527" s="3" t="s">
        <v>605</v>
      </c>
      <c r="C527" s="3" t="s">
        <v>24</v>
      </c>
      <c r="D527" s="3" t="s">
        <v>608</v>
      </c>
      <c r="E527" s="3">
        <v>5</v>
      </c>
      <c r="F527" s="3">
        <v>4</v>
      </c>
      <c r="G527" s="3">
        <v>212056</v>
      </c>
    </row>
    <row r="528" spans="1:7">
      <c r="A528" s="3" t="s">
        <v>615</v>
      </c>
      <c r="B528" s="3" t="s">
        <v>605</v>
      </c>
      <c r="C528" s="3" t="s">
        <v>24</v>
      </c>
      <c r="D528" s="3" t="s">
        <v>608</v>
      </c>
      <c r="E528" s="3">
        <v>4</v>
      </c>
      <c r="F528" s="3">
        <v>1</v>
      </c>
      <c r="G528" s="3">
        <v>149172</v>
      </c>
    </row>
    <row r="529" spans="1:7">
      <c r="A529" s="3" t="s">
        <v>616</v>
      </c>
      <c r="B529" s="3" t="s">
        <v>605</v>
      </c>
      <c r="C529" s="3" t="s">
        <v>24</v>
      </c>
      <c r="D529" s="3" t="s">
        <v>606</v>
      </c>
      <c r="E529" s="3">
        <v>2</v>
      </c>
      <c r="F529" s="3">
        <v>1</v>
      </c>
      <c r="G529" s="3">
        <v>92467</v>
      </c>
    </row>
    <row r="530" spans="1:7">
      <c r="A530" s="3" t="s">
        <v>617</v>
      </c>
      <c r="B530" s="3" t="s">
        <v>605</v>
      </c>
      <c r="C530" s="3" t="s">
        <v>24</v>
      </c>
      <c r="D530" s="3" t="s">
        <v>608</v>
      </c>
      <c r="E530" s="3">
        <v>2</v>
      </c>
      <c r="F530" s="3">
        <v>1</v>
      </c>
      <c r="G530" s="3">
        <v>78589</v>
      </c>
    </row>
    <row r="531" spans="1:7">
      <c r="A531" s="3" t="s">
        <v>618</v>
      </c>
      <c r="B531" s="3" t="s">
        <v>605</v>
      </c>
      <c r="C531" s="3" t="s">
        <v>24</v>
      </c>
      <c r="D531" s="3" t="s">
        <v>606</v>
      </c>
      <c r="E531" s="3">
        <v>2</v>
      </c>
      <c r="F531" s="3">
        <v>2</v>
      </c>
      <c r="G531" s="3">
        <v>105174</v>
      </c>
    </row>
    <row r="532" spans="1:7">
      <c r="A532" s="3" t="s">
        <v>619</v>
      </c>
      <c r="B532" s="3" t="s">
        <v>605</v>
      </c>
      <c r="C532" s="3" t="s">
        <v>24</v>
      </c>
      <c r="D532" s="3" t="s">
        <v>608</v>
      </c>
      <c r="E532" s="3">
        <v>3</v>
      </c>
      <c r="F532" s="3">
        <v>3</v>
      </c>
      <c r="G532" s="3">
        <v>138819</v>
      </c>
    </row>
    <row r="533" spans="1:7">
      <c r="A533" s="3" t="s">
        <v>620</v>
      </c>
      <c r="B533" s="3" t="s">
        <v>605</v>
      </c>
      <c r="C533" s="3" t="s">
        <v>24</v>
      </c>
      <c r="D533" s="3" t="s">
        <v>608</v>
      </c>
      <c r="E533" s="3">
        <v>3</v>
      </c>
      <c r="F533" s="3">
        <v>2</v>
      </c>
      <c r="G533" s="3">
        <v>130001</v>
      </c>
    </row>
    <row r="534" spans="1:7">
      <c r="A534" s="3" t="s">
        <v>621</v>
      </c>
      <c r="B534" s="3" t="s">
        <v>605</v>
      </c>
      <c r="C534" s="3" t="s">
        <v>24</v>
      </c>
      <c r="D534" s="3" t="s">
        <v>608</v>
      </c>
      <c r="E534" s="3">
        <v>4</v>
      </c>
      <c r="F534" s="3">
        <v>1</v>
      </c>
      <c r="G534" s="3">
        <v>134096</v>
      </c>
    </row>
    <row r="535" spans="1:7">
      <c r="A535" s="3" t="s">
        <v>622</v>
      </c>
      <c r="B535" s="3" t="s">
        <v>605</v>
      </c>
      <c r="C535" s="3" t="s">
        <v>24</v>
      </c>
      <c r="D535" s="3" t="s">
        <v>623</v>
      </c>
      <c r="E535" s="3">
        <v>4</v>
      </c>
      <c r="F535" s="3">
        <v>2</v>
      </c>
      <c r="G535" s="3">
        <v>161034</v>
      </c>
    </row>
    <row r="536" spans="1:7">
      <c r="A536" s="3" t="s">
        <v>624</v>
      </c>
      <c r="B536" s="3" t="s">
        <v>605</v>
      </c>
      <c r="C536" s="3" t="s">
        <v>24</v>
      </c>
      <c r="D536" s="3" t="s">
        <v>606</v>
      </c>
      <c r="E536" s="3">
        <v>2</v>
      </c>
      <c r="F536" s="3">
        <v>2</v>
      </c>
      <c r="G536" s="3">
        <v>108044</v>
      </c>
    </row>
    <row r="537" spans="1:7">
      <c r="A537" s="3" t="s">
        <v>625</v>
      </c>
      <c r="B537" s="3" t="s">
        <v>605</v>
      </c>
      <c r="C537" s="3" t="s">
        <v>24</v>
      </c>
      <c r="D537" s="3" t="s">
        <v>606</v>
      </c>
      <c r="E537" s="3">
        <v>5</v>
      </c>
      <c r="F537" s="3">
        <v>1</v>
      </c>
      <c r="G537" s="3">
        <v>215283</v>
      </c>
    </row>
    <row r="538" spans="1:7">
      <c r="A538" s="3" t="s">
        <v>626</v>
      </c>
      <c r="B538" s="3" t="s">
        <v>605</v>
      </c>
      <c r="C538" s="3" t="s">
        <v>24</v>
      </c>
      <c r="D538" s="3" t="s">
        <v>606</v>
      </c>
      <c r="E538" s="3">
        <v>4</v>
      </c>
      <c r="F538" s="3">
        <v>4</v>
      </c>
      <c r="G538" s="3">
        <v>208932</v>
      </c>
    </row>
    <row r="539" spans="1:7">
      <c r="A539" s="3" t="s">
        <v>627</v>
      </c>
      <c r="B539" s="3" t="s">
        <v>605</v>
      </c>
      <c r="C539" s="3" t="s">
        <v>24</v>
      </c>
      <c r="D539" s="3" t="s">
        <v>623</v>
      </c>
      <c r="E539" s="3">
        <v>5</v>
      </c>
      <c r="F539" s="3">
        <v>3</v>
      </c>
      <c r="G539" s="3">
        <v>208599</v>
      </c>
    </row>
    <row r="540" spans="1:7">
      <c r="A540" s="3" t="s">
        <v>628</v>
      </c>
      <c r="B540" s="3" t="s">
        <v>605</v>
      </c>
      <c r="C540" s="3" t="s">
        <v>24</v>
      </c>
      <c r="D540" s="3" t="s">
        <v>606</v>
      </c>
      <c r="E540" s="3">
        <v>3</v>
      </c>
      <c r="F540" s="3">
        <v>2</v>
      </c>
      <c r="G540" s="3">
        <v>134047</v>
      </c>
    </row>
    <row r="541" spans="1:7">
      <c r="A541" s="3" t="s">
        <v>629</v>
      </c>
      <c r="B541" s="3" t="s">
        <v>605</v>
      </c>
      <c r="C541" s="3" t="s">
        <v>24</v>
      </c>
      <c r="D541" s="3" t="s">
        <v>608</v>
      </c>
      <c r="E541" s="3">
        <v>5</v>
      </c>
      <c r="F541" s="3">
        <v>1</v>
      </c>
      <c r="G541" s="3">
        <v>170239</v>
      </c>
    </row>
    <row r="542" spans="1:7">
      <c r="A542" s="3" t="s">
        <v>630</v>
      </c>
      <c r="B542" s="3" t="s">
        <v>605</v>
      </c>
      <c r="C542" s="3" t="s">
        <v>24</v>
      </c>
      <c r="D542" s="3" t="s">
        <v>606</v>
      </c>
      <c r="E542" s="3">
        <v>3</v>
      </c>
      <c r="F542" s="3">
        <v>1</v>
      </c>
      <c r="G542" s="3">
        <v>112769</v>
      </c>
    </row>
    <row r="543" spans="1:7">
      <c r="A543" s="3" t="s">
        <v>631</v>
      </c>
      <c r="B543" s="3" t="s">
        <v>605</v>
      </c>
      <c r="C543" s="3" t="s">
        <v>24</v>
      </c>
      <c r="D543" s="3" t="s">
        <v>606</v>
      </c>
      <c r="E543" s="3">
        <v>4</v>
      </c>
      <c r="F543" s="3">
        <v>2</v>
      </c>
      <c r="G543" s="3">
        <v>199688</v>
      </c>
    </row>
    <row r="544" spans="1:7">
      <c r="A544" s="3" t="s">
        <v>632</v>
      </c>
      <c r="B544" s="3" t="s">
        <v>605</v>
      </c>
      <c r="C544" s="3" t="s">
        <v>24</v>
      </c>
      <c r="D544" s="3" t="s">
        <v>608</v>
      </c>
      <c r="E544" s="3">
        <v>4</v>
      </c>
      <c r="F544" s="3">
        <v>1</v>
      </c>
      <c r="G544" s="3">
        <v>148427</v>
      </c>
    </row>
    <row r="545" spans="1:7">
      <c r="A545" s="3" t="s">
        <v>633</v>
      </c>
      <c r="B545" s="3" t="s">
        <v>605</v>
      </c>
      <c r="C545" s="3" t="s">
        <v>24</v>
      </c>
      <c r="D545" s="3" t="s">
        <v>606</v>
      </c>
      <c r="E545" s="3">
        <v>4</v>
      </c>
      <c r="F545" s="3">
        <v>2</v>
      </c>
      <c r="G545" s="3">
        <v>174724</v>
      </c>
    </row>
    <row r="546" spans="1:7">
      <c r="A546" s="3" t="s">
        <v>634</v>
      </c>
      <c r="B546" s="3" t="s">
        <v>635</v>
      </c>
      <c r="C546" s="3" t="s">
        <v>24</v>
      </c>
      <c r="D546" s="3" t="s">
        <v>636</v>
      </c>
      <c r="E546" s="3">
        <v>4</v>
      </c>
      <c r="F546" s="3">
        <v>3</v>
      </c>
      <c r="G546" s="3">
        <v>197570</v>
      </c>
    </row>
    <row r="547" spans="1:7">
      <c r="A547" s="3" t="s">
        <v>637</v>
      </c>
      <c r="B547" s="3" t="s">
        <v>638</v>
      </c>
      <c r="C547" s="3" t="s">
        <v>24</v>
      </c>
      <c r="D547" s="3">
        <v>28073</v>
      </c>
      <c r="E547" s="3">
        <v>3</v>
      </c>
      <c r="F547" s="3">
        <v>1</v>
      </c>
      <c r="G547" s="3">
        <v>122595</v>
      </c>
    </row>
    <row r="548" spans="1:7">
      <c r="A548" s="3" t="s">
        <v>639</v>
      </c>
      <c r="B548" s="3" t="s">
        <v>638</v>
      </c>
      <c r="C548" s="3" t="s">
        <v>24</v>
      </c>
      <c r="D548" s="3" t="s">
        <v>640</v>
      </c>
      <c r="E548" s="3">
        <v>3</v>
      </c>
      <c r="F548" s="3">
        <v>3</v>
      </c>
      <c r="G548" s="3">
        <v>168633</v>
      </c>
    </row>
    <row r="549" spans="1:7">
      <c r="A549" s="3" t="s">
        <v>641</v>
      </c>
      <c r="B549" s="3" t="s">
        <v>642</v>
      </c>
      <c r="C549" s="3" t="s">
        <v>24</v>
      </c>
      <c r="D549" s="3" t="s">
        <v>643</v>
      </c>
      <c r="E549" s="3">
        <v>5</v>
      </c>
      <c r="F549" s="3">
        <v>5</v>
      </c>
      <c r="G549" s="3">
        <v>272905</v>
      </c>
    </row>
    <row r="550" spans="1:7">
      <c r="A550" s="3" t="s">
        <v>644</v>
      </c>
      <c r="B550" s="3" t="s">
        <v>642</v>
      </c>
      <c r="C550" s="3" t="s">
        <v>24</v>
      </c>
      <c r="D550" s="3" t="s">
        <v>643</v>
      </c>
      <c r="E550" s="3">
        <v>5</v>
      </c>
      <c r="F550" s="3">
        <v>5</v>
      </c>
      <c r="G550" s="3">
        <v>266070</v>
      </c>
    </row>
    <row r="551" spans="1:7">
      <c r="A551" s="3" t="s">
        <v>645</v>
      </c>
      <c r="B551" s="3" t="s">
        <v>642</v>
      </c>
      <c r="C551" s="3" t="s">
        <v>24</v>
      </c>
      <c r="D551" s="3" t="s">
        <v>643</v>
      </c>
      <c r="E551" s="3">
        <v>5</v>
      </c>
      <c r="F551" s="3">
        <v>4</v>
      </c>
      <c r="G551" s="3">
        <v>232316</v>
      </c>
    </row>
    <row r="552" spans="1:7">
      <c r="A552" s="3" t="s">
        <v>646</v>
      </c>
      <c r="B552" s="3" t="s">
        <v>642</v>
      </c>
      <c r="C552" s="3" t="s">
        <v>24</v>
      </c>
      <c r="D552" s="3" t="s">
        <v>643</v>
      </c>
      <c r="E552" s="3">
        <v>2</v>
      </c>
      <c r="F552" s="3">
        <v>1</v>
      </c>
      <c r="G552" s="3">
        <v>78301</v>
      </c>
    </row>
    <row r="553" spans="1:7">
      <c r="A553" s="3" t="s">
        <v>647</v>
      </c>
      <c r="B553" s="3" t="s">
        <v>648</v>
      </c>
      <c r="C553" s="3" t="s">
        <v>24</v>
      </c>
      <c r="D553" s="3" t="s">
        <v>649</v>
      </c>
      <c r="E553" s="3">
        <v>4</v>
      </c>
      <c r="F553" s="3">
        <v>1</v>
      </c>
      <c r="G553" s="3">
        <v>176471</v>
      </c>
    </row>
    <row r="554" spans="1:7">
      <c r="A554" s="3" t="s">
        <v>650</v>
      </c>
      <c r="B554" s="3" t="s">
        <v>648</v>
      </c>
      <c r="C554" s="3" t="s">
        <v>24</v>
      </c>
      <c r="D554" s="3" t="s">
        <v>651</v>
      </c>
      <c r="E554" s="3">
        <v>5</v>
      </c>
      <c r="F554" s="3">
        <v>1</v>
      </c>
      <c r="G554" s="3">
        <v>215736</v>
      </c>
    </row>
    <row r="555" spans="1:7">
      <c r="A555" s="3" t="s">
        <v>652</v>
      </c>
      <c r="B555" s="3" t="s">
        <v>648</v>
      </c>
      <c r="C555" s="3" t="s">
        <v>24</v>
      </c>
      <c r="D555" s="3" t="s">
        <v>649</v>
      </c>
      <c r="E555" s="3">
        <v>2</v>
      </c>
      <c r="F555" s="3">
        <v>1</v>
      </c>
      <c r="G555" s="3">
        <v>72653</v>
      </c>
    </row>
    <row r="556" spans="1:7">
      <c r="A556" s="3" t="s">
        <v>653</v>
      </c>
      <c r="B556" s="3" t="s">
        <v>648</v>
      </c>
      <c r="C556" s="3" t="s">
        <v>24</v>
      </c>
      <c r="D556" s="3" t="s">
        <v>651</v>
      </c>
      <c r="E556" s="3">
        <v>2</v>
      </c>
      <c r="F556" s="3">
        <v>2</v>
      </c>
      <c r="G556" s="3">
        <v>95242</v>
      </c>
    </row>
    <row r="557" spans="1:7">
      <c r="A557" s="3" t="s">
        <v>654</v>
      </c>
      <c r="B557" s="3" t="s">
        <v>648</v>
      </c>
      <c r="C557" s="3" t="s">
        <v>24</v>
      </c>
      <c r="D557" s="3" t="s">
        <v>649</v>
      </c>
      <c r="E557" s="3">
        <v>5</v>
      </c>
      <c r="F557" s="3">
        <v>5</v>
      </c>
      <c r="G557" s="3">
        <v>237485</v>
      </c>
    </row>
    <row r="558" spans="1:7">
      <c r="A558" s="3" t="s">
        <v>655</v>
      </c>
      <c r="B558" s="3" t="s">
        <v>648</v>
      </c>
      <c r="C558" s="3" t="s">
        <v>24</v>
      </c>
      <c r="D558" s="3" t="s">
        <v>649</v>
      </c>
      <c r="E558" s="3">
        <v>5</v>
      </c>
      <c r="F558" s="3">
        <v>2</v>
      </c>
      <c r="G558" s="3">
        <v>185080</v>
      </c>
    </row>
    <row r="559" spans="1:7">
      <c r="A559" s="3" t="s">
        <v>656</v>
      </c>
      <c r="B559" s="3" t="s">
        <v>648</v>
      </c>
      <c r="C559" s="3" t="s">
        <v>24</v>
      </c>
      <c r="D559" s="3" t="s">
        <v>651</v>
      </c>
      <c r="E559" s="3">
        <v>5</v>
      </c>
      <c r="F559" s="3">
        <v>3</v>
      </c>
      <c r="G559" s="3">
        <v>192355</v>
      </c>
    </row>
    <row r="560" spans="1:7">
      <c r="A560" s="3" t="s">
        <v>657</v>
      </c>
      <c r="B560" s="3" t="s">
        <v>648</v>
      </c>
      <c r="C560" s="3" t="s">
        <v>24</v>
      </c>
      <c r="D560" s="3" t="s">
        <v>651</v>
      </c>
      <c r="E560" s="3">
        <v>4</v>
      </c>
      <c r="F560" s="3">
        <v>1</v>
      </c>
      <c r="G560" s="3">
        <v>169000</v>
      </c>
    </row>
    <row r="561" spans="1:7">
      <c r="A561" s="3" t="s">
        <v>658</v>
      </c>
      <c r="B561" s="3" t="s">
        <v>648</v>
      </c>
      <c r="C561" s="3" t="s">
        <v>24</v>
      </c>
      <c r="D561" s="3" t="s">
        <v>659</v>
      </c>
      <c r="E561" s="3">
        <v>2</v>
      </c>
      <c r="F561" s="3">
        <v>2</v>
      </c>
      <c r="G561" s="3">
        <v>117806</v>
      </c>
    </row>
    <row r="562" spans="1:7">
      <c r="A562" s="3" t="s">
        <v>660</v>
      </c>
      <c r="B562" s="3" t="s">
        <v>648</v>
      </c>
      <c r="C562" s="3" t="s">
        <v>24</v>
      </c>
      <c r="D562" s="3" t="s">
        <v>649</v>
      </c>
      <c r="E562" s="3">
        <v>4</v>
      </c>
      <c r="F562" s="3">
        <v>2</v>
      </c>
      <c r="G562" s="3">
        <v>175026</v>
      </c>
    </row>
    <row r="563" spans="1:7">
      <c r="A563" s="3" t="s">
        <v>661</v>
      </c>
      <c r="B563" s="3" t="s">
        <v>648</v>
      </c>
      <c r="C563" s="3" t="s">
        <v>24</v>
      </c>
      <c r="D563" s="3" t="s">
        <v>649</v>
      </c>
      <c r="E563" s="3">
        <v>2</v>
      </c>
      <c r="F563" s="3">
        <v>1</v>
      </c>
      <c r="G563" s="3">
        <v>82077</v>
      </c>
    </row>
    <row r="564" spans="1:7">
      <c r="A564" s="3" t="s">
        <v>662</v>
      </c>
      <c r="B564" s="3" t="s">
        <v>648</v>
      </c>
      <c r="C564" s="3" t="s">
        <v>24</v>
      </c>
      <c r="D564" s="3" t="s">
        <v>651</v>
      </c>
      <c r="E564" s="3">
        <v>3</v>
      </c>
      <c r="F564" s="3">
        <v>3</v>
      </c>
      <c r="G564" s="3">
        <v>170766</v>
      </c>
    </row>
    <row r="565" spans="1:7">
      <c r="A565" s="3" t="s">
        <v>663</v>
      </c>
      <c r="B565" s="3" t="s">
        <v>648</v>
      </c>
      <c r="C565" s="3" t="s">
        <v>24</v>
      </c>
      <c r="D565" s="3" t="s">
        <v>649</v>
      </c>
      <c r="E565" s="3">
        <v>2</v>
      </c>
      <c r="F565" s="3">
        <v>2</v>
      </c>
      <c r="G565" s="3">
        <v>109228</v>
      </c>
    </row>
    <row r="566" spans="1:7">
      <c r="A566" s="3" t="s">
        <v>664</v>
      </c>
      <c r="B566" s="3" t="s">
        <v>648</v>
      </c>
      <c r="C566" s="3" t="s">
        <v>24</v>
      </c>
      <c r="D566" s="3" t="s">
        <v>649</v>
      </c>
      <c r="E566" s="3">
        <v>3</v>
      </c>
      <c r="F566" s="3">
        <v>3</v>
      </c>
      <c r="G566" s="3">
        <v>151227</v>
      </c>
    </row>
    <row r="567" spans="1:7">
      <c r="A567" s="3" t="s">
        <v>665</v>
      </c>
      <c r="B567" s="3" t="s">
        <v>648</v>
      </c>
      <c r="C567" s="3" t="s">
        <v>24</v>
      </c>
      <c r="D567" s="3" t="s">
        <v>649</v>
      </c>
      <c r="E567" s="3">
        <v>2</v>
      </c>
      <c r="F567" s="3">
        <v>2</v>
      </c>
      <c r="G567" s="3">
        <v>100664</v>
      </c>
    </row>
    <row r="568" spans="1:7">
      <c r="A568" s="3" t="s">
        <v>666</v>
      </c>
      <c r="B568" s="3" t="s">
        <v>648</v>
      </c>
      <c r="C568" s="3" t="s">
        <v>24</v>
      </c>
      <c r="D568" s="3" t="s">
        <v>651</v>
      </c>
      <c r="E568" s="3">
        <v>2</v>
      </c>
      <c r="F568" s="3">
        <v>1</v>
      </c>
      <c r="G568" s="3">
        <v>85605</v>
      </c>
    </row>
    <row r="569" spans="1:7">
      <c r="A569" s="3" t="s">
        <v>667</v>
      </c>
      <c r="B569" s="3" t="s">
        <v>648</v>
      </c>
      <c r="C569" s="3" t="s">
        <v>24</v>
      </c>
      <c r="D569" s="3" t="s">
        <v>649</v>
      </c>
      <c r="E569" s="3">
        <v>5</v>
      </c>
      <c r="F569" s="3">
        <v>3</v>
      </c>
      <c r="G569" s="3">
        <v>201301</v>
      </c>
    </row>
    <row r="570" spans="1:7">
      <c r="A570" s="3" t="s">
        <v>668</v>
      </c>
      <c r="B570" s="3" t="s">
        <v>648</v>
      </c>
      <c r="C570" s="3" t="s">
        <v>24</v>
      </c>
      <c r="D570" s="3" t="s">
        <v>651</v>
      </c>
      <c r="E570" s="3">
        <v>5</v>
      </c>
      <c r="F570" s="3">
        <v>1</v>
      </c>
      <c r="G570" s="3">
        <v>202692</v>
      </c>
    </row>
    <row r="571" spans="1:7">
      <c r="A571" s="3" t="s">
        <v>669</v>
      </c>
      <c r="B571" s="3" t="s">
        <v>648</v>
      </c>
      <c r="C571" s="3" t="s">
        <v>24</v>
      </c>
      <c r="D571" s="3" t="s">
        <v>651</v>
      </c>
      <c r="E571" s="3">
        <v>4</v>
      </c>
      <c r="F571" s="3">
        <v>2</v>
      </c>
      <c r="G571" s="3">
        <v>151392</v>
      </c>
    </row>
    <row r="572" spans="1:7">
      <c r="A572" s="3" t="s">
        <v>670</v>
      </c>
      <c r="B572" s="3" t="s">
        <v>648</v>
      </c>
      <c r="C572" s="3" t="s">
        <v>24</v>
      </c>
      <c r="D572" s="3" t="s">
        <v>649</v>
      </c>
      <c r="E572" s="3">
        <v>3</v>
      </c>
      <c r="F572" s="3">
        <v>2</v>
      </c>
      <c r="G572" s="3">
        <v>148688</v>
      </c>
    </row>
    <row r="573" spans="1:7">
      <c r="A573" s="3" t="s">
        <v>671</v>
      </c>
      <c r="B573" s="3" t="s">
        <v>672</v>
      </c>
      <c r="C573" s="3" t="s">
        <v>24</v>
      </c>
      <c r="D573" s="3" t="s">
        <v>673</v>
      </c>
      <c r="E573" s="3">
        <v>2</v>
      </c>
      <c r="F573" s="3">
        <v>2</v>
      </c>
      <c r="G573" s="3">
        <v>120612</v>
      </c>
    </row>
    <row r="574" spans="1:7">
      <c r="A574" s="3" t="s">
        <v>674</v>
      </c>
      <c r="B574" s="3" t="s">
        <v>672</v>
      </c>
      <c r="C574" s="3" t="s">
        <v>24</v>
      </c>
      <c r="D574" s="3" t="s">
        <v>675</v>
      </c>
      <c r="E574" s="3">
        <v>3</v>
      </c>
      <c r="F574" s="3">
        <v>1</v>
      </c>
      <c r="G574" s="3">
        <v>98379</v>
      </c>
    </row>
    <row r="575" spans="1:7">
      <c r="A575" s="3" t="s">
        <v>676</v>
      </c>
      <c r="B575" s="3" t="s">
        <v>672</v>
      </c>
      <c r="C575" s="3" t="s">
        <v>24</v>
      </c>
      <c r="D575" s="3" t="s">
        <v>675</v>
      </c>
      <c r="E575" s="3">
        <v>5</v>
      </c>
      <c r="F575" s="3">
        <v>2</v>
      </c>
      <c r="G575" s="3">
        <v>174942</v>
      </c>
    </row>
    <row r="576" spans="1:7">
      <c r="A576" s="3" t="s">
        <v>677</v>
      </c>
      <c r="B576" s="3" t="s">
        <v>672</v>
      </c>
      <c r="C576" s="3" t="s">
        <v>24</v>
      </c>
      <c r="D576" s="3" t="s">
        <v>675</v>
      </c>
      <c r="E576" s="3">
        <v>5</v>
      </c>
      <c r="F576" s="3">
        <v>5</v>
      </c>
      <c r="G576" s="3">
        <v>240055</v>
      </c>
    </row>
    <row r="577" spans="1:7">
      <c r="A577" s="3" t="s">
        <v>678</v>
      </c>
      <c r="B577" s="3" t="s">
        <v>672</v>
      </c>
      <c r="C577" s="3" t="s">
        <v>24</v>
      </c>
      <c r="D577" s="3" t="s">
        <v>675</v>
      </c>
      <c r="E577" s="3">
        <v>5</v>
      </c>
      <c r="F577" s="3">
        <v>4</v>
      </c>
      <c r="G577" s="3">
        <v>278218</v>
      </c>
    </row>
    <row r="578" spans="1:7">
      <c r="A578" s="3" t="s">
        <v>679</v>
      </c>
      <c r="B578" s="3" t="s">
        <v>672</v>
      </c>
      <c r="C578" s="3" t="s">
        <v>24</v>
      </c>
      <c r="D578" s="3" t="s">
        <v>675</v>
      </c>
      <c r="E578" s="3">
        <v>5</v>
      </c>
      <c r="F578" s="3">
        <v>2</v>
      </c>
      <c r="G578" s="3">
        <v>176571</v>
      </c>
    </row>
    <row r="579" spans="1:7">
      <c r="A579" s="3" t="s">
        <v>680</v>
      </c>
      <c r="B579" s="3" t="s">
        <v>672</v>
      </c>
      <c r="C579" s="3" t="s">
        <v>24</v>
      </c>
      <c r="D579" s="3" t="s">
        <v>675</v>
      </c>
      <c r="E579" s="3">
        <v>3</v>
      </c>
      <c r="F579" s="3">
        <v>2</v>
      </c>
      <c r="G579" s="3">
        <v>124035</v>
      </c>
    </row>
    <row r="580" spans="1:7">
      <c r="A580" s="3" t="s">
        <v>681</v>
      </c>
      <c r="B580" s="3" t="s">
        <v>672</v>
      </c>
      <c r="C580" s="3" t="s">
        <v>24</v>
      </c>
      <c r="D580" s="3" t="s">
        <v>675</v>
      </c>
      <c r="E580" s="3">
        <v>3</v>
      </c>
      <c r="F580" s="3">
        <v>2</v>
      </c>
      <c r="G580" s="3">
        <v>129524</v>
      </c>
    </row>
    <row r="581" spans="1:7">
      <c r="A581" s="3" t="s">
        <v>682</v>
      </c>
      <c r="B581" s="3" t="s">
        <v>672</v>
      </c>
      <c r="C581" s="3" t="s">
        <v>24</v>
      </c>
      <c r="D581" s="3" t="s">
        <v>675</v>
      </c>
      <c r="E581" s="3">
        <v>5</v>
      </c>
      <c r="F581" s="3">
        <v>5</v>
      </c>
      <c r="G581" s="3">
        <v>252175</v>
      </c>
    </row>
    <row r="582" spans="1:7">
      <c r="A582" s="3" t="s">
        <v>683</v>
      </c>
      <c r="B582" s="3" t="s">
        <v>672</v>
      </c>
      <c r="C582" s="3" t="s">
        <v>24</v>
      </c>
      <c r="D582" s="3" t="s">
        <v>675</v>
      </c>
      <c r="E582" s="3">
        <v>5</v>
      </c>
      <c r="F582" s="3">
        <v>2</v>
      </c>
      <c r="G582" s="3">
        <v>185924</v>
      </c>
    </row>
    <row r="583" spans="1:7">
      <c r="A583" s="3" t="s">
        <v>684</v>
      </c>
      <c r="B583" s="3" t="s">
        <v>672</v>
      </c>
      <c r="C583" s="3" t="s">
        <v>24</v>
      </c>
      <c r="D583" s="3" t="s">
        <v>675</v>
      </c>
      <c r="E583" s="3">
        <v>3</v>
      </c>
      <c r="F583" s="3">
        <v>2</v>
      </c>
      <c r="G583" s="3">
        <v>140058</v>
      </c>
    </row>
    <row r="584" spans="1:7">
      <c r="A584" s="3" t="s">
        <v>685</v>
      </c>
      <c r="B584" s="3" t="s">
        <v>672</v>
      </c>
      <c r="C584" s="3" t="s">
        <v>24</v>
      </c>
      <c r="D584" s="3" t="s">
        <v>675</v>
      </c>
      <c r="E584" s="3">
        <v>3</v>
      </c>
      <c r="F584" s="3">
        <v>1</v>
      </c>
      <c r="G584" s="3">
        <v>134738</v>
      </c>
    </row>
    <row r="585" spans="1:7">
      <c r="A585" s="3" t="s">
        <v>686</v>
      </c>
      <c r="B585" s="3" t="s">
        <v>687</v>
      </c>
      <c r="C585" s="3" t="s">
        <v>24</v>
      </c>
      <c r="D585" s="3" t="s">
        <v>688</v>
      </c>
      <c r="E585" s="3">
        <v>4</v>
      </c>
      <c r="F585" s="3">
        <v>2</v>
      </c>
      <c r="G585" s="3">
        <v>182690</v>
      </c>
    </row>
    <row r="586" spans="1:7">
      <c r="A586" s="3" t="s">
        <v>689</v>
      </c>
      <c r="B586" s="3" t="s">
        <v>687</v>
      </c>
      <c r="C586" s="3" t="s">
        <v>24</v>
      </c>
      <c r="D586" s="3" t="s">
        <v>688</v>
      </c>
      <c r="E586" s="3">
        <v>5</v>
      </c>
      <c r="F586" s="3">
        <v>5</v>
      </c>
      <c r="G586" s="3">
        <v>266980</v>
      </c>
    </row>
    <row r="587" spans="1:7">
      <c r="A587" s="3" t="s">
        <v>690</v>
      </c>
      <c r="B587" s="3" t="s">
        <v>691</v>
      </c>
      <c r="C587" s="3" t="s">
        <v>24</v>
      </c>
      <c r="D587" s="3" t="s">
        <v>692</v>
      </c>
      <c r="E587" s="3">
        <v>5</v>
      </c>
      <c r="F587" s="3">
        <v>4</v>
      </c>
      <c r="G587" s="3">
        <v>264474</v>
      </c>
    </row>
    <row r="588" spans="1:7">
      <c r="A588" s="3" t="s">
        <v>693</v>
      </c>
      <c r="B588" s="3" t="s">
        <v>694</v>
      </c>
      <c r="C588" s="3" t="s">
        <v>24</v>
      </c>
      <c r="D588" s="3" t="s">
        <v>695</v>
      </c>
      <c r="E588" s="3">
        <v>3</v>
      </c>
      <c r="F588" s="3">
        <v>1</v>
      </c>
      <c r="G588" s="3">
        <v>113986</v>
      </c>
    </row>
    <row r="589" spans="1:7">
      <c r="A589" s="3" t="s">
        <v>696</v>
      </c>
      <c r="B589" s="3" t="s">
        <v>694</v>
      </c>
      <c r="C589" s="3" t="s">
        <v>24</v>
      </c>
      <c r="D589" s="3" t="s">
        <v>697</v>
      </c>
      <c r="E589" s="3">
        <v>4</v>
      </c>
      <c r="F589" s="3">
        <v>3</v>
      </c>
      <c r="G589" s="3">
        <v>216955</v>
      </c>
    </row>
    <row r="590" spans="1:7">
      <c r="A590" s="3" t="s">
        <v>698</v>
      </c>
      <c r="B590" s="3" t="s">
        <v>694</v>
      </c>
      <c r="C590" s="3" t="s">
        <v>24</v>
      </c>
      <c r="D590" s="3" t="s">
        <v>695</v>
      </c>
      <c r="E590" s="3">
        <v>4</v>
      </c>
      <c r="F590" s="3">
        <v>1</v>
      </c>
      <c r="G590" s="3">
        <v>156836</v>
      </c>
    </row>
    <row r="591" spans="1:7">
      <c r="A591" s="3" t="s">
        <v>699</v>
      </c>
      <c r="B591" s="3" t="s">
        <v>694</v>
      </c>
      <c r="C591" s="3" t="s">
        <v>24</v>
      </c>
      <c r="D591" s="3" t="s">
        <v>697</v>
      </c>
      <c r="E591" s="3">
        <v>5</v>
      </c>
      <c r="F591" s="3">
        <v>5</v>
      </c>
      <c r="G591" s="3">
        <v>246075</v>
      </c>
    </row>
    <row r="592" spans="1:7">
      <c r="A592" s="3" t="s">
        <v>700</v>
      </c>
      <c r="B592" s="3" t="s">
        <v>694</v>
      </c>
      <c r="C592" s="3" t="s">
        <v>24</v>
      </c>
      <c r="D592" s="3" t="s">
        <v>695</v>
      </c>
      <c r="E592" s="3">
        <v>4</v>
      </c>
      <c r="F592" s="3">
        <v>3</v>
      </c>
      <c r="G592" s="3">
        <v>192737</v>
      </c>
    </row>
    <row r="593" spans="1:7">
      <c r="A593" s="3" t="s">
        <v>701</v>
      </c>
      <c r="B593" s="3" t="s">
        <v>702</v>
      </c>
      <c r="C593" s="3" t="s">
        <v>24</v>
      </c>
      <c r="D593" s="3" t="s">
        <v>703</v>
      </c>
      <c r="E593" s="3">
        <v>3</v>
      </c>
      <c r="F593" s="3">
        <v>2</v>
      </c>
      <c r="G593" s="3">
        <v>132774</v>
      </c>
    </row>
    <row r="594" spans="1:7">
      <c r="A594" s="3" t="s">
        <v>704</v>
      </c>
      <c r="B594" s="3" t="s">
        <v>702</v>
      </c>
      <c r="C594" s="3" t="s">
        <v>24</v>
      </c>
      <c r="D594" s="3" t="s">
        <v>703</v>
      </c>
      <c r="E594" s="3">
        <v>4</v>
      </c>
      <c r="F594" s="3">
        <v>2</v>
      </c>
      <c r="G594" s="3">
        <v>181292</v>
      </c>
    </row>
    <row r="595" spans="1:7">
      <c r="A595" s="3" t="s">
        <v>705</v>
      </c>
      <c r="B595" s="3" t="s">
        <v>702</v>
      </c>
      <c r="C595" s="3" t="s">
        <v>24</v>
      </c>
      <c r="D595" s="3" t="s">
        <v>703</v>
      </c>
      <c r="E595" s="3">
        <v>5</v>
      </c>
      <c r="F595" s="3">
        <v>2</v>
      </c>
      <c r="G595" s="3">
        <v>192238</v>
      </c>
    </row>
    <row r="596" spans="1:7">
      <c r="A596" s="3" t="s">
        <v>706</v>
      </c>
      <c r="B596" s="3" t="s">
        <v>702</v>
      </c>
      <c r="C596" s="3" t="s">
        <v>24</v>
      </c>
      <c r="D596" s="3" t="s">
        <v>703</v>
      </c>
      <c r="E596" s="3">
        <v>2</v>
      </c>
      <c r="F596" s="3">
        <v>1</v>
      </c>
      <c r="G596" s="3">
        <v>84916</v>
      </c>
    </row>
    <row r="597" spans="1:7">
      <c r="A597" s="3" t="s">
        <v>707</v>
      </c>
      <c r="B597" s="3" t="s">
        <v>702</v>
      </c>
      <c r="C597" s="3" t="s">
        <v>24</v>
      </c>
      <c r="D597" s="3" t="s">
        <v>703</v>
      </c>
      <c r="E597" s="3">
        <v>5</v>
      </c>
      <c r="F597" s="3">
        <v>5</v>
      </c>
      <c r="G597" s="3">
        <v>285555</v>
      </c>
    </row>
    <row r="598" spans="1:7">
      <c r="A598" s="3" t="s">
        <v>708</v>
      </c>
      <c r="B598" s="3" t="s">
        <v>702</v>
      </c>
      <c r="C598" s="3" t="s">
        <v>24</v>
      </c>
      <c r="D598" s="3" t="s">
        <v>703</v>
      </c>
      <c r="E598" s="3">
        <v>2</v>
      </c>
      <c r="F598" s="3">
        <v>2</v>
      </c>
      <c r="G598" s="3">
        <v>94802</v>
      </c>
    </row>
    <row r="599" spans="1:7">
      <c r="A599" s="3" t="s">
        <v>709</v>
      </c>
      <c r="B599" s="3" t="s">
        <v>710</v>
      </c>
      <c r="C599" s="3" t="s">
        <v>24</v>
      </c>
      <c r="D599" s="3" t="s">
        <v>711</v>
      </c>
      <c r="E599" s="3">
        <v>2</v>
      </c>
      <c r="F599" s="3">
        <v>2</v>
      </c>
      <c r="G599" s="3">
        <v>100716</v>
      </c>
    </row>
    <row r="600" spans="1:7">
      <c r="A600" s="3" t="s">
        <v>712</v>
      </c>
      <c r="B600" s="3" t="s">
        <v>713</v>
      </c>
      <c r="C600" s="3" t="s">
        <v>24</v>
      </c>
      <c r="D600" s="3" t="s">
        <v>714</v>
      </c>
      <c r="E600" s="3">
        <v>2</v>
      </c>
      <c r="F600" s="3">
        <v>1</v>
      </c>
      <c r="G600" s="3">
        <v>96432</v>
      </c>
    </row>
    <row r="601" spans="1:7">
      <c r="A601" s="3" t="s">
        <v>715</v>
      </c>
      <c r="B601" s="3" t="s">
        <v>713</v>
      </c>
      <c r="C601" s="3" t="s">
        <v>24</v>
      </c>
      <c r="D601" s="3" t="s">
        <v>714</v>
      </c>
      <c r="E601" s="3">
        <v>4</v>
      </c>
      <c r="F601" s="3">
        <v>1</v>
      </c>
      <c r="G601" s="3">
        <v>160390</v>
      </c>
    </row>
    <row r="602" spans="1:7">
      <c r="A602" s="3" t="s">
        <v>716</v>
      </c>
      <c r="B602" s="3" t="s">
        <v>713</v>
      </c>
      <c r="C602" s="3" t="s">
        <v>24</v>
      </c>
      <c r="D602" s="3" t="s">
        <v>717</v>
      </c>
      <c r="E602" s="3">
        <v>4</v>
      </c>
      <c r="F602" s="3">
        <v>1</v>
      </c>
      <c r="G602" s="3">
        <v>173517</v>
      </c>
    </row>
    <row r="603" spans="1:7">
      <c r="A603" s="3" t="s">
        <v>718</v>
      </c>
      <c r="B603" s="3" t="s">
        <v>713</v>
      </c>
      <c r="C603" s="3" t="s">
        <v>24</v>
      </c>
      <c r="D603" s="3" t="s">
        <v>714</v>
      </c>
      <c r="E603" s="3">
        <v>5</v>
      </c>
      <c r="F603" s="3">
        <v>5</v>
      </c>
      <c r="G603" s="3">
        <v>265315</v>
      </c>
    </row>
    <row r="604" spans="1:7">
      <c r="A604" s="3" t="s">
        <v>719</v>
      </c>
      <c r="B604" s="3" t="s">
        <v>713</v>
      </c>
      <c r="C604" s="3" t="s">
        <v>24</v>
      </c>
      <c r="D604" s="3" t="s">
        <v>714</v>
      </c>
      <c r="E604" s="3">
        <v>5</v>
      </c>
      <c r="F604" s="3">
        <v>5</v>
      </c>
      <c r="G604" s="3">
        <v>244015</v>
      </c>
    </row>
    <row r="605" spans="1:7">
      <c r="A605" s="3" t="s">
        <v>720</v>
      </c>
      <c r="B605" s="3" t="s">
        <v>713</v>
      </c>
      <c r="C605" s="3" t="s">
        <v>24</v>
      </c>
      <c r="D605" s="3" t="s">
        <v>714</v>
      </c>
      <c r="E605" s="3">
        <v>5</v>
      </c>
      <c r="F605" s="3">
        <v>4</v>
      </c>
      <c r="G605" s="3">
        <v>202898</v>
      </c>
    </row>
    <row r="606" spans="1:7">
      <c r="A606" s="3" t="s">
        <v>721</v>
      </c>
      <c r="B606" s="3" t="s">
        <v>713</v>
      </c>
      <c r="C606" s="3" t="s">
        <v>24</v>
      </c>
      <c r="D606" s="3" t="s">
        <v>714</v>
      </c>
      <c r="E606" s="3">
        <v>5</v>
      </c>
      <c r="F606" s="3">
        <v>1</v>
      </c>
      <c r="G606" s="3">
        <v>160274</v>
      </c>
    </row>
    <row r="607" spans="1:7">
      <c r="A607" s="3" t="s">
        <v>722</v>
      </c>
      <c r="B607" s="3" t="s">
        <v>713</v>
      </c>
      <c r="C607" s="3" t="s">
        <v>24</v>
      </c>
      <c r="D607" s="3" t="s">
        <v>714</v>
      </c>
      <c r="E607" s="3">
        <v>2</v>
      </c>
      <c r="F607" s="3">
        <v>2</v>
      </c>
      <c r="G607" s="3">
        <v>116654</v>
      </c>
    </row>
    <row r="608" spans="1:7">
      <c r="A608" s="3" t="s">
        <v>723</v>
      </c>
      <c r="B608" s="3" t="s">
        <v>713</v>
      </c>
      <c r="C608" s="3" t="s">
        <v>24</v>
      </c>
      <c r="D608" s="3" t="s">
        <v>714</v>
      </c>
      <c r="E608" s="3">
        <v>3</v>
      </c>
      <c r="F608" s="3">
        <v>2</v>
      </c>
      <c r="G608" s="3">
        <v>133803</v>
      </c>
    </row>
    <row r="609" spans="1:7">
      <c r="A609" s="3" t="s">
        <v>724</v>
      </c>
      <c r="B609" s="3" t="s">
        <v>713</v>
      </c>
      <c r="C609" s="3" t="s">
        <v>24</v>
      </c>
      <c r="D609" s="3" t="s">
        <v>714</v>
      </c>
      <c r="E609" s="3">
        <v>3</v>
      </c>
      <c r="F609" s="3">
        <v>1</v>
      </c>
      <c r="G609" s="3">
        <v>126701</v>
      </c>
    </row>
    <row r="610" spans="1:7">
      <c r="A610" s="3" t="s">
        <v>725</v>
      </c>
      <c r="B610" s="3" t="s">
        <v>713</v>
      </c>
      <c r="C610" s="3" t="s">
        <v>24</v>
      </c>
      <c r="D610" s="3" t="s">
        <v>714</v>
      </c>
      <c r="E610" s="3">
        <v>3</v>
      </c>
      <c r="F610" s="3">
        <v>2</v>
      </c>
      <c r="G610" s="3">
        <v>129579</v>
      </c>
    </row>
    <row r="611" spans="1:7">
      <c r="A611" s="3" t="s">
        <v>726</v>
      </c>
      <c r="B611" s="3" t="s">
        <v>713</v>
      </c>
      <c r="C611" s="3" t="s">
        <v>24</v>
      </c>
      <c r="D611" s="3" t="s">
        <v>714</v>
      </c>
      <c r="E611" s="3">
        <v>5</v>
      </c>
      <c r="F611" s="3">
        <v>5</v>
      </c>
      <c r="G611" s="3">
        <v>238925</v>
      </c>
    </row>
    <row r="612" spans="1:7">
      <c r="A612" s="3" t="s">
        <v>727</v>
      </c>
      <c r="B612" s="3" t="s">
        <v>728</v>
      </c>
      <c r="C612" s="3" t="s">
        <v>24</v>
      </c>
      <c r="D612" s="3" t="s">
        <v>729</v>
      </c>
      <c r="E612" s="3">
        <v>5</v>
      </c>
      <c r="F612" s="3">
        <v>5</v>
      </c>
      <c r="G612" s="3">
        <v>262510</v>
      </c>
    </row>
    <row r="613" spans="1:7">
      <c r="A613" s="3" t="s">
        <v>730</v>
      </c>
      <c r="B613" s="3" t="s">
        <v>728</v>
      </c>
      <c r="C613" s="3" t="s">
        <v>24</v>
      </c>
      <c r="D613" s="3" t="s">
        <v>729</v>
      </c>
      <c r="E613" s="3">
        <v>5</v>
      </c>
      <c r="F613" s="3">
        <v>5</v>
      </c>
      <c r="G613" s="3">
        <v>270040</v>
      </c>
    </row>
    <row r="614" spans="1:7">
      <c r="A614" s="3" t="s">
        <v>731</v>
      </c>
      <c r="B614" s="3" t="s">
        <v>732</v>
      </c>
      <c r="C614" s="3" t="s">
        <v>24</v>
      </c>
      <c r="D614" s="3" t="s">
        <v>733</v>
      </c>
      <c r="E614" s="3">
        <v>3</v>
      </c>
      <c r="F614" s="3">
        <v>3</v>
      </c>
      <c r="G614" s="3">
        <v>159843</v>
      </c>
    </row>
    <row r="615" spans="1:7">
      <c r="A615" s="3" t="s">
        <v>734</v>
      </c>
      <c r="B615" s="3" t="s">
        <v>732</v>
      </c>
      <c r="C615" s="3" t="s">
        <v>24</v>
      </c>
      <c r="D615" s="3" t="s">
        <v>733</v>
      </c>
      <c r="E615" s="3">
        <v>2</v>
      </c>
      <c r="F615" s="3">
        <v>1</v>
      </c>
      <c r="G615" s="3">
        <v>73762</v>
      </c>
    </row>
    <row r="616" spans="1:7">
      <c r="A616" s="3" t="s">
        <v>735</v>
      </c>
      <c r="B616" s="3" t="s">
        <v>736</v>
      </c>
      <c r="C616" s="3" t="s">
        <v>24</v>
      </c>
      <c r="D616" s="3" t="s">
        <v>174</v>
      </c>
      <c r="E616" s="3">
        <v>3</v>
      </c>
      <c r="F616" s="3">
        <v>2</v>
      </c>
      <c r="G616" s="3">
        <v>115066</v>
      </c>
    </row>
    <row r="617" spans="1:7">
      <c r="A617" s="3" t="s">
        <v>737</v>
      </c>
      <c r="B617" s="3" t="s">
        <v>736</v>
      </c>
      <c r="C617" s="3" t="s">
        <v>24</v>
      </c>
      <c r="D617" s="3" t="s">
        <v>738</v>
      </c>
      <c r="E617" s="3">
        <v>3</v>
      </c>
      <c r="F617" s="3">
        <v>1</v>
      </c>
      <c r="G617" s="3">
        <v>132044</v>
      </c>
    </row>
    <row r="618" spans="1:7">
      <c r="A618" s="3" t="s">
        <v>739</v>
      </c>
      <c r="B618" s="3" t="s">
        <v>736</v>
      </c>
      <c r="C618" s="3" t="s">
        <v>24</v>
      </c>
      <c r="D618" s="3" t="s">
        <v>740</v>
      </c>
      <c r="E618" s="3">
        <v>3</v>
      </c>
      <c r="F618" s="3">
        <v>2</v>
      </c>
      <c r="G618" s="3">
        <v>157221</v>
      </c>
    </row>
    <row r="619" spans="1:7">
      <c r="A619" s="3" t="s">
        <v>741</v>
      </c>
      <c r="B619" s="3" t="s">
        <v>736</v>
      </c>
      <c r="C619" s="3" t="s">
        <v>24</v>
      </c>
      <c r="D619" s="3" t="s">
        <v>740</v>
      </c>
      <c r="E619" s="3">
        <v>5</v>
      </c>
      <c r="F619" s="3">
        <v>4</v>
      </c>
      <c r="G619" s="3">
        <v>216546</v>
      </c>
    </row>
    <row r="620" spans="1:7">
      <c r="A620" s="3" t="s">
        <v>742</v>
      </c>
      <c r="B620" s="3" t="s">
        <v>736</v>
      </c>
      <c r="C620" s="3" t="s">
        <v>24</v>
      </c>
      <c r="D620" s="3" t="s">
        <v>738</v>
      </c>
      <c r="E620" s="3">
        <v>4</v>
      </c>
      <c r="F620" s="3">
        <v>4</v>
      </c>
      <c r="G620" s="3">
        <v>217188</v>
      </c>
    </row>
    <row r="621" spans="1:7">
      <c r="A621" s="3" t="s">
        <v>743</v>
      </c>
      <c r="B621" s="3" t="s">
        <v>736</v>
      </c>
      <c r="C621" s="3" t="s">
        <v>24</v>
      </c>
      <c r="D621" s="3" t="s">
        <v>740</v>
      </c>
      <c r="E621" s="3">
        <v>2</v>
      </c>
      <c r="F621" s="3">
        <v>1</v>
      </c>
      <c r="G621" s="3">
        <v>76343</v>
      </c>
    </row>
    <row r="622" spans="1:7">
      <c r="A622" s="3" t="s">
        <v>744</v>
      </c>
      <c r="B622" s="3" t="s">
        <v>736</v>
      </c>
      <c r="C622" s="3" t="s">
        <v>24</v>
      </c>
      <c r="D622" s="3" t="s">
        <v>738</v>
      </c>
      <c r="E622" s="3">
        <v>2</v>
      </c>
      <c r="F622" s="3">
        <v>1</v>
      </c>
      <c r="G622" s="3">
        <v>99123</v>
      </c>
    </row>
    <row r="623" spans="1:7">
      <c r="A623" s="3" t="s">
        <v>745</v>
      </c>
      <c r="B623" s="3" t="s">
        <v>736</v>
      </c>
      <c r="C623" s="3" t="s">
        <v>24</v>
      </c>
      <c r="D623" s="3" t="s">
        <v>738</v>
      </c>
      <c r="E623" s="3">
        <v>3</v>
      </c>
      <c r="F623" s="3">
        <v>3</v>
      </c>
      <c r="G623" s="3">
        <v>158736</v>
      </c>
    </row>
    <row r="624" spans="1:7">
      <c r="A624" s="3" t="s">
        <v>746</v>
      </c>
      <c r="B624" s="3" t="s">
        <v>736</v>
      </c>
      <c r="C624" s="3" t="s">
        <v>24</v>
      </c>
      <c r="D624" s="3" t="s">
        <v>740</v>
      </c>
      <c r="E624" s="3">
        <v>3</v>
      </c>
      <c r="F624" s="3">
        <v>2</v>
      </c>
      <c r="G624" s="3">
        <v>145737</v>
      </c>
    </row>
    <row r="625" spans="1:7">
      <c r="A625" s="3" t="s">
        <v>747</v>
      </c>
      <c r="B625" s="3" t="s">
        <v>736</v>
      </c>
      <c r="C625" s="3" t="s">
        <v>24</v>
      </c>
      <c r="D625" s="3" t="s">
        <v>740</v>
      </c>
      <c r="E625" s="3">
        <v>2</v>
      </c>
      <c r="F625" s="3">
        <v>1</v>
      </c>
      <c r="G625" s="3">
        <v>79520</v>
      </c>
    </row>
    <row r="626" spans="1:7">
      <c r="A626" s="3" t="s">
        <v>748</v>
      </c>
      <c r="B626" s="3" t="s">
        <v>736</v>
      </c>
      <c r="C626" s="3" t="s">
        <v>24</v>
      </c>
      <c r="D626" s="3" t="s">
        <v>740</v>
      </c>
      <c r="E626" s="3">
        <v>5</v>
      </c>
      <c r="F626" s="3">
        <v>3</v>
      </c>
      <c r="G626" s="3">
        <v>243582</v>
      </c>
    </row>
    <row r="627" spans="1:7">
      <c r="A627" s="3" t="s">
        <v>749</v>
      </c>
      <c r="B627" s="3" t="s">
        <v>736</v>
      </c>
      <c r="C627" s="3" t="s">
        <v>24</v>
      </c>
      <c r="D627" s="3" t="s">
        <v>740</v>
      </c>
      <c r="E627" s="3">
        <v>3</v>
      </c>
      <c r="F627" s="3">
        <v>2</v>
      </c>
      <c r="G627" s="3">
        <v>152475</v>
      </c>
    </row>
    <row r="628" spans="1:7">
      <c r="A628" s="3" t="s">
        <v>750</v>
      </c>
      <c r="B628" s="3" t="s">
        <v>736</v>
      </c>
      <c r="C628" s="3" t="s">
        <v>24</v>
      </c>
      <c r="D628" s="3" t="s">
        <v>740</v>
      </c>
      <c r="E628" s="3">
        <v>2</v>
      </c>
      <c r="F628" s="3">
        <v>1</v>
      </c>
      <c r="G628" s="3">
        <v>89066</v>
      </c>
    </row>
    <row r="629" spans="1:7">
      <c r="A629" s="3" t="s">
        <v>751</v>
      </c>
      <c r="B629" s="3" t="s">
        <v>736</v>
      </c>
      <c r="C629" s="3" t="s">
        <v>24</v>
      </c>
      <c r="D629" s="3" t="s">
        <v>740</v>
      </c>
      <c r="E629" s="3">
        <v>5</v>
      </c>
      <c r="F629" s="3">
        <v>1</v>
      </c>
      <c r="G629" s="3">
        <v>187304</v>
      </c>
    </row>
    <row r="630" spans="1:7">
      <c r="A630" s="3" t="s">
        <v>752</v>
      </c>
      <c r="B630" s="3" t="s">
        <v>736</v>
      </c>
      <c r="C630" s="3" t="s">
        <v>24</v>
      </c>
      <c r="D630" s="3" t="s">
        <v>740</v>
      </c>
      <c r="E630" s="3">
        <v>4</v>
      </c>
      <c r="F630" s="3">
        <v>4</v>
      </c>
      <c r="G630" s="3">
        <v>228096</v>
      </c>
    </row>
    <row r="631" spans="1:7">
      <c r="A631" s="3" t="s">
        <v>753</v>
      </c>
      <c r="B631" s="3" t="s">
        <v>736</v>
      </c>
      <c r="C631" s="3" t="s">
        <v>24</v>
      </c>
      <c r="D631" s="3" t="s">
        <v>740</v>
      </c>
      <c r="E631" s="3">
        <v>5</v>
      </c>
      <c r="F631" s="3">
        <v>1</v>
      </c>
      <c r="G631" s="3">
        <v>174095</v>
      </c>
    </row>
    <row r="632" spans="1:7">
      <c r="A632" s="3" t="s">
        <v>754</v>
      </c>
      <c r="B632" s="3" t="s">
        <v>736</v>
      </c>
      <c r="C632" s="3" t="s">
        <v>24</v>
      </c>
      <c r="D632" s="3" t="s">
        <v>740</v>
      </c>
      <c r="E632" s="3">
        <v>5</v>
      </c>
      <c r="F632" s="3">
        <v>3</v>
      </c>
      <c r="G632" s="3">
        <v>239821</v>
      </c>
    </row>
    <row r="633" spans="1:7">
      <c r="A633" s="3" t="s">
        <v>755</v>
      </c>
      <c r="B633" s="3" t="s">
        <v>756</v>
      </c>
      <c r="C633" s="3" t="s">
        <v>24</v>
      </c>
      <c r="D633" s="3" t="s">
        <v>757</v>
      </c>
      <c r="E633" s="3">
        <v>4</v>
      </c>
      <c r="F633" s="3">
        <v>3</v>
      </c>
      <c r="G633" s="3">
        <v>169078</v>
      </c>
    </row>
    <row r="634" spans="1:7">
      <c r="A634" s="3" t="s">
        <v>758</v>
      </c>
      <c r="B634" s="3" t="s">
        <v>756</v>
      </c>
      <c r="C634" s="3" t="s">
        <v>24</v>
      </c>
      <c r="D634" s="3" t="s">
        <v>759</v>
      </c>
      <c r="E634" s="3">
        <v>5</v>
      </c>
      <c r="F634" s="3">
        <v>5</v>
      </c>
      <c r="G634" s="3">
        <v>275570</v>
      </c>
    </row>
    <row r="635" spans="1:7">
      <c r="A635" s="3" t="s">
        <v>760</v>
      </c>
      <c r="B635" s="3" t="s">
        <v>756</v>
      </c>
      <c r="C635" s="3" t="s">
        <v>24</v>
      </c>
      <c r="D635" s="3" t="s">
        <v>759</v>
      </c>
      <c r="E635" s="3">
        <v>5</v>
      </c>
      <c r="F635" s="3">
        <v>3</v>
      </c>
      <c r="G635" s="3">
        <v>257648</v>
      </c>
    </row>
    <row r="636" spans="1:7">
      <c r="A636" s="3" t="s">
        <v>761</v>
      </c>
      <c r="B636" s="3" t="s">
        <v>756</v>
      </c>
      <c r="C636" s="3" t="s">
        <v>24</v>
      </c>
      <c r="D636" s="3" t="s">
        <v>759</v>
      </c>
      <c r="E636" s="3">
        <v>2</v>
      </c>
      <c r="F636" s="3">
        <v>1</v>
      </c>
      <c r="G636" s="3">
        <v>74670</v>
      </c>
    </row>
    <row r="637" spans="1:7">
      <c r="A637" s="3" t="s">
        <v>762</v>
      </c>
      <c r="B637" s="3" t="s">
        <v>756</v>
      </c>
      <c r="C637" s="3" t="s">
        <v>24</v>
      </c>
      <c r="D637" s="3" t="s">
        <v>759</v>
      </c>
      <c r="E637" s="3">
        <v>5</v>
      </c>
      <c r="F637" s="3">
        <v>5</v>
      </c>
      <c r="G637" s="3">
        <v>231850</v>
      </c>
    </row>
    <row r="638" spans="1:7">
      <c r="A638" s="3" t="s">
        <v>763</v>
      </c>
      <c r="B638" s="3" t="s">
        <v>756</v>
      </c>
      <c r="C638" s="3" t="s">
        <v>24</v>
      </c>
      <c r="D638" s="3" t="s">
        <v>759</v>
      </c>
      <c r="E638" s="3">
        <v>4</v>
      </c>
      <c r="F638" s="3">
        <v>2</v>
      </c>
      <c r="G638" s="3">
        <v>189608</v>
      </c>
    </row>
    <row r="639" spans="1:7">
      <c r="A639" s="3" t="s">
        <v>764</v>
      </c>
      <c r="B639" s="3" t="s">
        <v>756</v>
      </c>
      <c r="C639" s="3" t="s">
        <v>24</v>
      </c>
      <c r="D639" s="3" t="s">
        <v>759</v>
      </c>
      <c r="E639" s="3">
        <v>5</v>
      </c>
      <c r="F639" s="3">
        <v>2</v>
      </c>
      <c r="G639" s="3">
        <v>188124</v>
      </c>
    </row>
    <row r="640" spans="1:7">
      <c r="A640" s="3" t="s">
        <v>765</v>
      </c>
      <c r="B640" s="3" t="s">
        <v>756</v>
      </c>
      <c r="C640" s="3" t="s">
        <v>24</v>
      </c>
      <c r="D640" s="3" t="s">
        <v>759</v>
      </c>
      <c r="E640" s="3">
        <v>4</v>
      </c>
      <c r="F640" s="3">
        <v>1</v>
      </c>
      <c r="G640" s="3">
        <v>129442</v>
      </c>
    </row>
    <row r="641" spans="1:7">
      <c r="A641" s="3" t="s">
        <v>766</v>
      </c>
      <c r="B641" s="3" t="s">
        <v>756</v>
      </c>
      <c r="C641" s="3" t="s">
        <v>24</v>
      </c>
      <c r="D641" s="3" t="s">
        <v>757</v>
      </c>
      <c r="E641" s="3">
        <v>5</v>
      </c>
      <c r="F641" s="3">
        <v>3</v>
      </c>
      <c r="G641" s="3">
        <v>233290</v>
      </c>
    </row>
    <row r="642" spans="1:7">
      <c r="A642" s="3" t="s">
        <v>767</v>
      </c>
      <c r="B642" s="3" t="s">
        <v>756</v>
      </c>
      <c r="C642" s="3" t="s">
        <v>24</v>
      </c>
      <c r="D642" s="3" t="s">
        <v>759</v>
      </c>
      <c r="E642" s="3">
        <v>3</v>
      </c>
      <c r="F642" s="3">
        <v>1</v>
      </c>
      <c r="G642" s="3">
        <v>124364</v>
      </c>
    </row>
    <row r="643" spans="1:7">
      <c r="A643" s="3" t="s">
        <v>768</v>
      </c>
      <c r="B643" s="3" t="s">
        <v>756</v>
      </c>
      <c r="C643" s="3" t="s">
        <v>24</v>
      </c>
      <c r="D643" s="3" t="s">
        <v>759</v>
      </c>
      <c r="E643" s="3">
        <v>3</v>
      </c>
      <c r="F643" s="3">
        <v>3</v>
      </c>
      <c r="G643" s="3">
        <v>153609</v>
      </c>
    </row>
    <row r="644" spans="1:7">
      <c r="A644" s="3" t="s">
        <v>769</v>
      </c>
      <c r="B644" s="3" t="s">
        <v>756</v>
      </c>
      <c r="C644" s="3" t="s">
        <v>24</v>
      </c>
      <c r="D644" s="3" t="s">
        <v>759</v>
      </c>
      <c r="E644" s="3">
        <v>3</v>
      </c>
      <c r="F644" s="3">
        <v>1</v>
      </c>
      <c r="G644" s="3">
        <v>119059</v>
      </c>
    </row>
    <row r="645" spans="1:7">
      <c r="A645" s="3" t="s">
        <v>770</v>
      </c>
      <c r="B645" s="3" t="s">
        <v>756</v>
      </c>
      <c r="C645" s="3" t="s">
        <v>24</v>
      </c>
      <c r="D645" s="3" t="s">
        <v>759</v>
      </c>
      <c r="E645" s="3">
        <v>5</v>
      </c>
      <c r="F645" s="3">
        <v>2</v>
      </c>
      <c r="G645" s="3">
        <v>168325</v>
      </c>
    </row>
    <row r="646" spans="1:7">
      <c r="A646" s="3" t="s">
        <v>771</v>
      </c>
      <c r="B646" s="3" t="s">
        <v>756</v>
      </c>
      <c r="C646" s="3" t="s">
        <v>24</v>
      </c>
      <c r="D646" s="3" t="s">
        <v>759</v>
      </c>
      <c r="E646" s="3">
        <v>4</v>
      </c>
      <c r="F646" s="3">
        <v>2</v>
      </c>
      <c r="G646" s="3">
        <v>145992</v>
      </c>
    </row>
    <row r="647" spans="1:7">
      <c r="A647" s="3" t="s">
        <v>772</v>
      </c>
      <c r="B647" s="3" t="s">
        <v>756</v>
      </c>
      <c r="C647" s="3" t="s">
        <v>24</v>
      </c>
      <c r="D647" s="3" t="s">
        <v>759</v>
      </c>
      <c r="E647" s="3">
        <v>2</v>
      </c>
      <c r="F647" s="3">
        <v>2</v>
      </c>
      <c r="G647" s="3">
        <v>102042</v>
      </c>
    </row>
    <row r="648" spans="1:7">
      <c r="A648" s="3" t="s">
        <v>773</v>
      </c>
      <c r="B648" s="3" t="s">
        <v>756</v>
      </c>
      <c r="C648" s="3" t="s">
        <v>24</v>
      </c>
      <c r="D648" s="3" t="s">
        <v>757</v>
      </c>
      <c r="E648" s="3">
        <v>4</v>
      </c>
      <c r="F648" s="3">
        <v>1</v>
      </c>
      <c r="G648" s="3">
        <v>129518</v>
      </c>
    </row>
    <row r="649" spans="1:7">
      <c r="A649" s="3" t="s">
        <v>774</v>
      </c>
      <c r="B649" s="3" t="s">
        <v>756</v>
      </c>
      <c r="C649" s="3" t="s">
        <v>24</v>
      </c>
      <c r="D649" s="3" t="s">
        <v>757</v>
      </c>
      <c r="E649" s="3">
        <v>5</v>
      </c>
      <c r="F649" s="3">
        <v>2</v>
      </c>
      <c r="G649" s="3">
        <v>203177</v>
      </c>
    </row>
    <row r="650" spans="1:7">
      <c r="A650" s="3" t="s">
        <v>775</v>
      </c>
      <c r="B650" s="3" t="s">
        <v>756</v>
      </c>
      <c r="C650" s="3" t="s">
        <v>24</v>
      </c>
      <c r="D650" s="3" t="s">
        <v>759</v>
      </c>
      <c r="E650" s="3">
        <v>2</v>
      </c>
      <c r="F650" s="3">
        <v>1</v>
      </c>
      <c r="G650" s="3">
        <v>76422</v>
      </c>
    </row>
    <row r="651" spans="1:7">
      <c r="A651" s="3" t="s">
        <v>776</v>
      </c>
      <c r="B651" s="3" t="s">
        <v>777</v>
      </c>
      <c r="C651" s="3" t="s">
        <v>24</v>
      </c>
      <c r="D651" s="3" t="s">
        <v>778</v>
      </c>
      <c r="E651" s="3">
        <v>3</v>
      </c>
      <c r="F651" s="3">
        <v>2</v>
      </c>
      <c r="G651" s="3">
        <v>156939</v>
      </c>
    </row>
    <row r="652" spans="1:7">
      <c r="A652" s="3" t="s">
        <v>779</v>
      </c>
      <c r="B652" s="3" t="s">
        <v>777</v>
      </c>
      <c r="C652" s="3" t="s">
        <v>24</v>
      </c>
      <c r="D652" s="3" t="s">
        <v>780</v>
      </c>
      <c r="E652" s="3">
        <v>5</v>
      </c>
      <c r="F652" s="3">
        <v>2</v>
      </c>
      <c r="G652" s="3">
        <v>194377</v>
      </c>
    </row>
    <row r="653" spans="1:7">
      <c r="A653" s="3" t="s">
        <v>781</v>
      </c>
      <c r="B653" s="3" t="s">
        <v>777</v>
      </c>
      <c r="C653" s="3" t="s">
        <v>24</v>
      </c>
      <c r="D653" s="3" t="s">
        <v>778</v>
      </c>
      <c r="E653" s="3">
        <v>5</v>
      </c>
      <c r="F653" s="3">
        <v>3</v>
      </c>
      <c r="G653" s="3">
        <v>253549</v>
      </c>
    </row>
    <row r="654" spans="1:7">
      <c r="A654" s="3" t="s">
        <v>782</v>
      </c>
      <c r="B654" s="3" t="s">
        <v>777</v>
      </c>
      <c r="C654" s="3" t="s">
        <v>24</v>
      </c>
      <c r="D654" s="3" t="s">
        <v>778</v>
      </c>
      <c r="E654" s="3">
        <v>2</v>
      </c>
      <c r="F654" s="3">
        <v>1</v>
      </c>
      <c r="G654" s="3">
        <v>91115</v>
      </c>
    </row>
    <row r="655" spans="1:7">
      <c r="A655" s="3" t="s">
        <v>783</v>
      </c>
      <c r="B655" s="3" t="s">
        <v>777</v>
      </c>
      <c r="C655" s="3" t="s">
        <v>24</v>
      </c>
      <c r="D655" s="3" t="s">
        <v>778</v>
      </c>
      <c r="E655" s="3">
        <v>3</v>
      </c>
      <c r="F655" s="3">
        <v>3</v>
      </c>
      <c r="G655" s="3">
        <v>175737</v>
      </c>
    </row>
    <row r="656" spans="1:7">
      <c r="A656" s="3" t="s">
        <v>784</v>
      </c>
      <c r="B656" s="3" t="s">
        <v>777</v>
      </c>
      <c r="C656" s="3" t="s">
        <v>24</v>
      </c>
      <c r="D656" s="3" t="s">
        <v>780</v>
      </c>
      <c r="E656" s="3">
        <v>2</v>
      </c>
      <c r="F656" s="3">
        <v>2</v>
      </c>
      <c r="G656" s="3">
        <v>113116</v>
      </c>
    </row>
    <row r="657" spans="1:7">
      <c r="A657" s="3" t="s">
        <v>785</v>
      </c>
      <c r="B657" s="3" t="s">
        <v>777</v>
      </c>
      <c r="C657" s="3" t="s">
        <v>24</v>
      </c>
      <c r="D657" s="3" t="s">
        <v>780</v>
      </c>
      <c r="E657" s="3">
        <v>4</v>
      </c>
      <c r="F657" s="3">
        <v>1</v>
      </c>
      <c r="G657" s="3">
        <v>143000</v>
      </c>
    </row>
    <row r="658" spans="1:7">
      <c r="A658" s="3" t="s">
        <v>786</v>
      </c>
      <c r="B658" s="3" t="s">
        <v>777</v>
      </c>
      <c r="C658" s="3" t="s">
        <v>24</v>
      </c>
      <c r="D658" s="3" t="s">
        <v>778</v>
      </c>
      <c r="E658" s="3">
        <v>3</v>
      </c>
      <c r="F658" s="3">
        <v>1</v>
      </c>
      <c r="G658" s="3">
        <v>94414</v>
      </c>
    </row>
    <row r="659" spans="1:7">
      <c r="A659" s="3" t="s">
        <v>787</v>
      </c>
      <c r="B659" s="3" t="s">
        <v>777</v>
      </c>
      <c r="C659" s="3" t="s">
        <v>24</v>
      </c>
      <c r="D659" s="3" t="s">
        <v>780</v>
      </c>
      <c r="E659" s="3">
        <v>3</v>
      </c>
      <c r="F659" s="3">
        <v>2</v>
      </c>
      <c r="G659" s="3">
        <v>139976</v>
      </c>
    </row>
    <row r="660" spans="1:7">
      <c r="A660" s="3" t="s">
        <v>788</v>
      </c>
      <c r="B660" s="3" t="s">
        <v>777</v>
      </c>
      <c r="C660" s="3" t="s">
        <v>24</v>
      </c>
      <c r="D660" s="3" t="s">
        <v>778</v>
      </c>
      <c r="E660" s="3">
        <v>3</v>
      </c>
      <c r="F660" s="3">
        <v>3</v>
      </c>
      <c r="G660" s="3">
        <v>136584</v>
      </c>
    </row>
    <row r="661" spans="1:7">
      <c r="A661" s="3" t="s">
        <v>789</v>
      </c>
      <c r="B661" s="3" t="s">
        <v>777</v>
      </c>
      <c r="C661" s="3" t="s">
        <v>24</v>
      </c>
      <c r="D661" s="3" t="s">
        <v>780</v>
      </c>
      <c r="E661" s="3">
        <v>2</v>
      </c>
      <c r="F661" s="3">
        <v>2</v>
      </c>
      <c r="G661" s="3">
        <v>94094</v>
      </c>
    </row>
    <row r="662" spans="1:7">
      <c r="A662" s="3" t="s">
        <v>790</v>
      </c>
      <c r="B662" s="3" t="s">
        <v>777</v>
      </c>
      <c r="C662" s="3" t="s">
        <v>24</v>
      </c>
      <c r="D662" s="3" t="s">
        <v>780</v>
      </c>
      <c r="E662" s="3">
        <v>2</v>
      </c>
      <c r="F662" s="3">
        <v>1</v>
      </c>
      <c r="G662" s="3">
        <v>79517</v>
      </c>
    </row>
    <row r="663" spans="1:7">
      <c r="A663" s="3" t="s">
        <v>791</v>
      </c>
      <c r="B663" s="3" t="s">
        <v>777</v>
      </c>
      <c r="C663" s="3" t="s">
        <v>24</v>
      </c>
      <c r="D663" s="3" t="s">
        <v>780</v>
      </c>
      <c r="E663" s="3">
        <v>4</v>
      </c>
      <c r="F663" s="3">
        <v>1</v>
      </c>
      <c r="G663" s="3">
        <v>149964</v>
      </c>
    </row>
    <row r="664" spans="1:7">
      <c r="A664" s="3" t="s">
        <v>792</v>
      </c>
      <c r="B664" s="3" t="s">
        <v>793</v>
      </c>
      <c r="C664" s="3" t="s">
        <v>24</v>
      </c>
      <c r="D664" s="3" t="s">
        <v>794</v>
      </c>
      <c r="E664" s="3">
        <v>5</v>
      </c>
      <c r="F664" s="3">
        <v>5</v>
      </c>
      <c r="G664" s="3">
        <v>253655</v>
      </c>
    </row>
    <row r="665" spans="1:7">
      <c r="A665" s="3" t="s">
        <v>795</v>
      </c>
      <c r="B665" s="3" t="s">
        <v>796</v>
      </c>
      <c r="C665" s="3" t="s">
        <v>24</v>
      </c>
      <c r="D665" s="3" t="s">
        <v>794</v>
      </c>
      <c r="E665" s="3">
        <v>3</v>
      </c>
      <c r="F665" s="3">
        <v>1</v>
      </c>
      <c r="G665" s="3">
        <v>128984</v>
      </c>
    </row>
    <row r="666" spans="1:7">
      <c r="A666" s="3" t="s">
        <v>797</v>
      </c>
      <c r="B666" s="3" t="s">
        <v>798</v>
      </c>
      <c r="C666" s="3" t="s">
        <v>24</v>
      </c>
      <c r="D666" s="3" t="s">
        <v>799</v>
      </c>
      <c r="E666" s="3">
        <v>5</v>
      </c>
      <c r="F666" s="3">
        <v>3</v>
      </c>
      <c r="G666" s="3">
        <v>242323</v>
      </c>
    </row>
    <row r="667" spans="1:7">
      <c r="A667" s="3" t="s">
        <v>800</v>
      </c>
      <c r="B667" s="3" t="s">
        <v>801</v>
      </c>
      <c r="C667" s="3" t="s">
        <v>24</v>
      </c>
      <c r="D667" s="3" t="s">
        <v>802</v>
      </c>
      <c r="E667" s="3">
        <v>3</v>
      </c>
      <c r="F667" s="3">
        <v>3</v>
      </c>
      <c r="G667" s="3">
        <v>161523</v>
      </c>
    </row>
    <row r="668" spans="1:7">
      <c r="A668" s="3" t="s">
        <v>803</v>
      </c>
      <c r="B668" s="3" t="s">
        <v>801</v>
      </c>
      <c r="C668" s="3" t="s">
        <v>24</v>
      </c>
      <c r="D668" s="3" t="s">
        <v>802</v>
      </c>
      <c r="E668" s="3">
        <v>3</v>
      </c>
      <c r="F668" s="3">
        <v>1</v>
      </c>
      <c r="G668" s="3">
        <v>101845</v>
      </c>
    </row>
    <row r="669" spans="1:7">
      <c r="A669" s="3" t="s">
        <v>804</v>
      </c>
      <c r="B669" s="3" t="s">
        <v>801</v>
      </c>
      <c r="C669" s="3" t="s">
        <v>24</v>
      </c>
      <c r="D669" s="3" t="s">
        <v>802</v>
      </c>
      <c r="E669" s="3">
        <v>3</v>
      </c>
      <c r="F669" s="3">
        <v>1</v>
      </c>
      <c r="G669" s="3">
        <v>128254</v>
      </c>
    </row>
    <row r="670" spans="1:7">
      <c r="A670" s="3" t="s">
        <v>805</v>
      </c>
      <c r="B670" s="3" t="s">
        <v>801</v>
      </c>
      <c r="C670" s="3" t="s">
        <v>24</v>
      </c>
      <c r="D670" s="3" t="s">
        <v>802</v>
      </c>
      <c r="E670" s="3">
        <v>2</v>
      </c>
      <c r="F670" s="3">
        <v>1</v>
      </c>
      <c r="G670" s="3">
        <v>83956</v>
      </c>
    </row>
    <row r="671" spans="1:7">
      <c r="A671" s="3" t="s">
        <v>806</v>
      </c>
      <c r="B671" s="3" t="s">
        <v>801</v>
      </c>
      <c r="C671" s="3" t="s">
        <v>24</v>
      </c>
      <c r="D671" s="3" t="s">
        <v>802</v>
      </c>
      <c r="E671" s="3">
        <v>4</v>
      </c>
      <c r="F671" s="3">
        <v>3</v>
      </c>
      <c r="G671" s="3">
        <v>197938</v>
      </c>
    </row>
    <row r="672" spans="1:7">
      <c r="A672" s="3" t="s">
        <v>807</v>
      </c>
      <c r="B672" s="3" t="s">
        <v>801</v>
      </c>
      <c r="C672" s="3" t="s">
        <v>24</v>
      </c>
      <c r="D672" s="3" t="s">
        <v>802</v>
      </c>
      <c r="E672" s="3">
        <v>2</v>
      </c>
      <c r="F672" s="3">
        <v>2</v>
      </c>
      <c r="G672" s="3">
        <v>101662</v>
      </c>
    </row>
    <row r="673" spans="1:7">
      <c r="A673" s="3" t="s">
        <v>808</v>
      </c>
      <c r="B673" s="3" t="s">
        <v>801</v>
      </c>
      <c r="C673" s="3" t="s">
        <v>24</v>
      </c>
      <c r="D673" s="3" t="s">
        <v>802</v>
      </c>
      <c r="E673" s="3">
        <v>3</v>
      </c>
      <c r="F673" s="3">
        <v>1</v>
      </c>
      <c r="G673" s="3">
        <v>113841</v>
      </c>
    </row>
    <row r="674" spans="1:7">
      <c r="A674" s="3" t="s">
        <v>809</v>
      </c>
      <c r="B674" s="3" t="s">
        <v>801</v>
      </c>
      <c r="C674" s="3" t="s">
        <v>24</v>
      </c>
      <c r="D674" s="3" t="s">
        <v>802</v>
      </c>
      <c r="E674" s="3">
        <v>4</v>
      </c>
      <c r="F674" s="3">
        <v>1</v>
      </c>
      <c r="G674" s="3">
        <v>160396</v>
      </c>
    </row>
    <row r="675" spans="1:7">
      <c r="A675" s="3" t="s">
        <v>810</v>
      </c>
      <c r="B675" s="3" t="s">
        <v>811</v>
      </c>
      <c r="C675" s="3" t="s">
        <v>24</v>
      </c>
      <c r="D675" s="3" t="s">
        <v>812</v>
      </c>
      <c r="E675" s="3">
        <v>2</v>
      </c>
      <c r="F675" s="3">
        <v>1</v>
      </c>
      <c r="G675" s="3">
        <v>97939</v>
      </c>
    </row>
    <row r="676" spans="1:7">
      <c r="A676" s="3" t="s">
        <v>813</v>
      </c>
      <c r="B676" s="3" t="s">
        <v>814</v>
      </c>
      <c r="C676" s="3" t="s">
        <v>24</v>
      </c>
      <c r="D676" s="3" t="s">
        <v>815</v>
      </c>
      <c r="E676" s="3">
        <v>5</v>
      </c>
      <c r="F676" s="3">
        <v>2</v>
      </c>
      <c r="G676" s="3">
        <v>175042</v>
      </c>
    </row>
    <row r="677" spans="1:7">
      <c r="A677" s="3" t="s">
        <v>816</v>
      </c>
      <c r="B677" s="3" t="s">
        <v>814</v>
      </c>
      <c r="C677" s="3" t="s">
        <v>24</v>
      </c>
      <c r="D677" s="3" t="s">
        <v>815</v>
      </c>
      <c r="E677" s="3">
        <v>4</v>
      </c>
      <c r="F677" s="3">
        <v>2</v>
      </c>
      <c r="G677" s="3">
        <v>183576</v>
      </c>
    </row>
    <row r="678" spans="1:7">
      <c r="A678" s="3" t="s">
        <v>817</v>
      </c>
      <c r="B678" s="3" t="s">
        <v>814</v>
      </c>
      <c r="C678" s="3" t="s">
        <v>24</v>
      </c>
      <c r="D678" s="3" t="s">
        <v>815</v>
      </c>
      <c r="E678" s="3">
        <v>2</v>
      </c>
      <c r="F678" s="3">
        <v>2</v>
      </c>
      <c r="G678" s="3">
        <v>92418</v>
      </c>
    </row>
    <row r="679" spans="1:7">
      <c r="A679" s="3" t="s">
        <v>818</v>
      </c>
      <c r="B679" s="3" t="s">
        <v>814</v>
      </c>
      <c r="C679" s="3" t="s">
        <v>24</v>
      </c>
      <c r="D679" s="3" t="s">
        <v>815</v>
      </c>
      <c r="E679" s="3">
        <v>2</v>
      </c>
      <c r="F679" s="3">
        <v>1</v>
      </c>
      <c r="G679" s="3">
        <v>85279</v>
      </c>
    </row>
    <row r="680" spans="1:7">
      <c r="A680" s="3" t="s">
        <v>819</v>
      </c>
      <c r="B680" s="3" t="s">
        <v>814</v>
      </c>
      <c r="C680" s="3" t="s">
        <v>24</v>
      </c>
      <c r="D680" s="3" t="s">
        <v>815</v>
      </c>
      <c r="E680" s="3">
        <v>4</v>
      </c>
      <c r="F680" s="3">
        <v>3</v>
      </c>
      <c r="G680" s="3">
        <v>207200</v>
      </c>
    </row>
    <row r="681" spans="1:7">
      <c r="A681" s="3" t="s">
        <v>820</v>
      </c>
      <c r="B681" s="3" t="s">
        <v>821</v>
      </c>
      <c r="C681" s="3" t="s">
        <v>24</v>
      </c>
      <c r="D681" s="3" t="s">
        <v>822</v>
      </c>
      <c r="E681" s="3">
        <v>4</v>
      </c>
      <c r="F681" s="3">
        <v>3</v>
      </c>
      <c r="G681" s="3">
        <v>206694</v>
      </c>
    </row>
    <row r="682" spans="1:7">
      <c r="A682" s="3" t="s">
        <v>823</v>
      </c>
      <c r="B682" s="3" t="s">
        <v>821</v>
      </c>
      <c r="C682" s="3" t="s">
        <v>24</v>
      </c>
      <c r="D682" s="3" t="s">
        <v>824</v>
      </c>
      <c r="E682" s="3">
        <v>5</v>
      </c>
      <c r="F682" s="3">
        <v>1</v>
      </c>
      <c r="G682" s="3">
        <v>212544</v>
      </c>
    </row>
    <row r="683" spans="1:7">
      <c r="A683" s="3" t="s">
        <v>825</v>
      </c>
      <c r="B683" s="3" t="s">
        <v>826</v>
      </c>
      <c r="C683" s="3" t="s">
        <v>24</v>
      </c>
      <c r="D683" s="3" t="s">
        <v>827</v>
      </c>
      <c r="E683" s="3">
        <v>2</v>
      </c>
      <c r="F683" s="3">
        <v>1</v>
      </c>
      <c r="G683" s="3">
        <v>76619</v>
      </c>
    </row>
    <row r="684" spans="1:7">
      <c r="A684" s="3" t="s">
        <v>828</v>
      </c>
      <c r="B684" s="3" t="s">
        <v>829</v>
      </c>
      <c r="C684" s="3" t="s">
        <v>24</v>
      </c>
      <c r="D684" s="3" t="s">
        <v>830</v>
      </c>
      <c r="E684" s="3">
        <v>4</v>
      </c>
      <c r="F684" s="3">
        <v>1</v>
      </c>
      <c r="G684" s="3">
        <v>133826</v>
      </c>
    </row>
    <row r="685" spans="1:7">
      <c r="A685" s="3" t="s">
        <v>831</v>
      </c>
      <c r="B685" s="3" t="s">
        <v>829</v>
      </c>
      <c r="C685" s="3" t="s">
        <v>24</v>
      </c>
      <c r="D685" s="3" t="s">
        <v>832</v>
      </c>
      <c r="E685" s="3">
        <v>3</v>
      </c>
      <c r="F685" s="3">
        <v>3</v>
      </c>
      <c r="G685" s="3">
        <v>139914</v>
      </c>
    </row>
    <row r="686" spans="1:7">
      <c r="A686" s="3" t="s">
        <v>833</v>
      </c>
      <c r="B686" s="3" t="s">
        <v>829</v>
      </c>
      <c r="C686" s="3" t="s">
        <v>24</v>
      </c>
      <c r="D686" s="3" t="s">
        <v>832</v>
      </c>
      <c r="E686" s="3">
        <v>3</v>
      </c>
      <c r="F686" s="3">
        <v>3</v>
      </c>
      <c r="G686" s="3">
        <v>152877</v>
      </c>
    </row>
    <row r="687" spans="1:7">
      <c r="A687" s="3" t="s">
        <v>834</v>
      </c>
      <c r="B687" s="3" t="s">
        <v>829</v>
      </c>
      <c r="C687" s="3" t="s">
        <v>24</v>
      </c>
      <c r="D687" s="3" t="s">
        <v>830</v>
      </c>
      <c r="E687" s="3">
        <v>2</v>
      </c>
      <c r="F687" s="3">
        <v>2</v>
      </c>
      <c r="G687" s="3">
        <v>108552</v>
      </c>
    </row>
    <row r="688" spans="1:7">
      <c r="A688" s="3" t="s">
        <v>835</v>
      </c>
      <c r="B688" s="3" t="s">
        <v>829</v>
      </c>
      <c r="C688" s="3" t="s">
        <v>24</v>
      </c>
      <c r="D688" s="3" t="s">
        <v>832</v>
      </c>
      <c r="E688" s="3">
        <v>2</v>
      </c>
      <c r="F688" s="3">
        <v>1</v>
      </c>
      <c r="G688" s="3">
        <v>90692</v>
      </c>
    </row>
    <row r="689" spans="1:7">
      <c r="A689" s="3" t="s">
        <v>836</v>
      </c>
      <c r="B689" s="3" t="s">
        <v>829</v>
      </c>
      <c r="C689" s="3" t="s">
        <v>24</v>
      </c>
      <c r="D689" s="3" t="s">
        <v>830</v>
      </c>
      <c r="E689" s="3">
        <v>4</v>
      </c>
      <c r="F689" s="3">
        <v>4</v>
      </c>
      <c r="G689" s="3">
        <v>203628</v>
      </c>
    </row>
    <row r="690" spans="1:7">
      <c r="A690" s="3" t="s">
        <v>837</v>
      </c>
      <c r="B690" s="3" t="s">
        <v>829</v>
      </c>
      <c r="C690" s="3" t="s">
        <v>24</v>
      </c>
      <c r="D690" s="3" t="s">
        <v>832</v>
      </c>
      <c r="E690" s="3">
        <v>3</v>
      </c>
      <c r="F690" s="3">
        <v>1</v>
      </c>
      <c r="G690" s="3">
        <v>104152</v>
      </c>
    </row>
    <row r="691" spans="1:7">
      <c r="A691" s="3" t="s">
        <v>838</v>
      </c>
      <c r="B691" s="3" t="s">
        <v>829</v>
      </c>
      <c r="C691" s="3" t="s">
        <v>24</v>
      </c>
      <c r="D691" s="3" t="s">
        <v>830</v>
      </c>
      <c r="E691" s="3">
        <v>3</v>
      </c>
      <c r="F691" s="3">
        <v>1</v>
      </c>
      <c r="G691" s="3">
        <v>107386</v>
      </c>
    </row>
    <row r="692" spans="1:7">
      <c r="A692" s="3" t="s">
        <v>839</v>
      </c>
      <c r="B692" s="3" t="s">
        <v>829</v>
      </c>
      <c r="C692" s="3" t="s">
        <v>24</v>
      </c>
      <c r="D692" s="3" t="s">
        <v>830</v>
      </c>
      <c r="E692" s="3">
        <v>4</v>
      </c>
      <c r="F692" s="3">
        <v>4</v>
      </c>
      <c r="G692" s="3">
        <v>227128</v>
      </c>
    </row>
    <row r="693" spans="1:7">
      <c r="A693" s="3" t="s">
        <v>840</v>
      </c>
      <c r="B693" s="3" t="s">
        <v>829</v>
      </c>
      <c r="C693" s="3" t="s">
        <v>24</v>
      </c>
      <c r="D693" s="3" t="s">
        <v>841</v>
      </c>
      <c r="E693" s="3">
        <v>3</v>
      </c>
      <c r="F693" s="3">
        <v>2</v>
      </c>
      <c r="G693" s="3">
        <v>145922</v>
      </c>
    </row>
    <row r="694" spans="1:7">
      <c r="A694" s="3" t="s">
        <v>842</v>
      </c>
      <c r="B694" s="3" t="s">
        <v>829</v>
      </c>
      <c r="C694" s="3" t="s">
        <v>24</v>
      </c>
      <c r="D694" s="3" t="s">
        <v>830</v>
      </c>
      <c r="E694" s="3">
        <v>2</v>
      </c>
      <c r="F694" s="3">
        <v>2</v>
      </c>
      <c r="G694" s="3">
        <v>105558</v>
      </c>
    </row>
    <row r="695" spans="1:7">
      <c r="A695" s="3" t="s">
        <v>843</v>
      </c>
      <c r="B695" s="3" t="s">
        <v>829</v>
      </c>
      <c r="C695" s="3" t="s">
        <v>24</v>
      </c>
      <c r="D695" s="3" t="s">
        <v>832</v>
      </c>
      <c r="E695" s="3">
        <v>5</v>
      </c>
      <c r="F695" s="3">
        <v>4</v>
      </c>
      <c r="G695" s="3">
        <v>264124</v>
      </c>
    </row>
    <row r="696" spans="1:7">
      <c r="A696" s="3" t="s">
        <v>844</v>
      </c>
      <c r="B696" s="3" t="s">
        <v>829</v>
      </c>
      <c r="C696" s="3" t="s">
        <v>24</v>
      </c>
      <c r="D696" s="3" t="s">
        <v>832</v>
      </c>
      <c r="E696" s="3">
        <v>3</v>
      </c>
      <c r="F696" s="3">
        <v>3</v>
      </c>
      <c r="G696" s="3">
        <v>163140</v>
      </c>
    </row>
    <row r="697" spans="1:7">
      <c r="A697" s="3" t="s">
        <v>845</v>
      </c>
      <c r="B697" s="3" t="s">
        <v>829</v>
      </c>
      <c r="C697" s="3" t="s">
        <v>24</v>
      </c>
      <c r="D697" s="3" t="s">
        <v>832</v>
      </c>
      <c r="E697" s="3">
        <v>3</v>
      </c>
      <c r="F697" s="3">
        <v>1</v>
      </c>
      <c r="G697" s="3">
        <v>107086</v>
      </c>
    </row>
    <row r="698" spans="1:7">
      <c r="A698" s="3" t="s">
        <v>846</v>
      </c>
      <c r="B698" s="3" t="s">
        <v>829</v>
      </c>
      <c r="C698" s="3" t="s">
        <v>24</v>
      </c>
      <c r="D698" s="3" t="s">
        <v>832</v>
      </c>
      <c r="E698" s="3">
        <v>4</v>
      </c>
      <c r="F698" s="3">
        <v>2</v>
      </c>
      <c r="G698" s="3">
        <v>167610</v>
      </c>
    </row>
    <row r="699" spans="1:7">
      <c r="A699" s="3" t="s">
        <v>847</v>
      </c>
      <c r="B699" s="3" t="s">
        <v>829</v>
      </c>
      <c r="C699" s="3" t="s">
        <v>24</v>
      </c>
      <c r="D699" s="3" t="s">
        <v>841</v>
      </c>
      <c r="E699" s="3">
        <v>3</v>
      </c>
      <c r="F699" s="3">
        <v>1</v>
      </c>
      <c r="G699" s="3">
        <v>120296</v>
      </c>
    </row>
    <row r="700" spans="1:7">
      <c r="A700" s="3" t="s">
        <v>848</v>
      </c>
      <c r="B700" s="3" t="s">
        <v>829</v>
      </c>
      <c r="C700" s="3" t="s">
        <v>24</v>
      </c>
      <c r="D700" s="3" t="s">
        <v>841</v>
      </c>
      <c r="E700" s="3">
        <v>3</v>
      </c>
      <c r="F700" s="3">
        <v>3</v>
      </c>
      <c r="G700" s="3">
        <v>146817</v>
      </c>
    </row>
    <row r="701" spans="1:7">
      <c r="A701" s="3" t="s">
        <v>849</v>
      </c>
      <c r="B701" s="3" t="s">
        <v>829</v>
      </c>
      <c r="C701" s="3" t="s">
        <v>24</v>
      </c>
      <c r="D701" s="3" t="s">
        <v>841</v>
      </c>
      <c r="E701" s="3">
        <v>3</v>
      </c>
      <c r="F701" s="3">
        <v>1</v>
      </c>
      <c r="G701" s="3">
        <v>138109</v>
      </c>
    </row>
    <row r="702" spans="1:7">
      <c r="A702" s="3" t="s">
        <v>850</v>
      </c>
      <c r="B702" s="3" t="s">
        <v>829</v>
      </c>
      <c r="C702" s="3" t="s">
        <v>24</v>
      </c>
      <c r="D702" s="3" t="s">
        <v>832</v>
      </c>
      <c r="E702" s="3">
        <v>5</v>
      </c>
      <c r="F702" s="3">
        <v>5</v>
      </c>
      <c r="G702" s="3">
        <v>287340</v>
      </c>
    </row>
    <row r="703" spans="1:7">
      <c r="A703" s="3" t="s">
        <v>851</v>
      </c>
      <c r="B703" s="3" t="s">
        <v>829</v>
      </c>
      <c r="C703" s="3" t="s">
        <v>24</v>
      </c>
      <c r="D703" s="3" t="s">
        <v>841</v>
      </c>
      <c r="E703" s="3">
        <v>4</v>
      </c>
      <c r="F703" s="3">
        <v>3</v>
      </c>
      <c r="G703" s="3">
        <v>160979</v>
      </c>
    </row>
    <row r="704" spans="1:7">
      <c r="A704" s="3" t="s">
        <v>852</v>
      </c>
      <c r="B704" s="3" t="s">
        <v>829</v>
      </c>
      <c r="C704" s="3" t="s">
        <v>24</v>
      </c>
      <c r="D704" s="3" t="s">
        <v>832</v>
      </c>
      <c r="E704" s="3">
        <v>3</v>
      </c>
      <c r="F704" s="3">
        <v>3</v>
      </c>
      <c r="G704" s="3">
        <v>180108</v>
      </c>
    </row>
    <row r="705" spans="1:7">
      <c r="A705" s="3" t="s">
        <v>853</v>
      </c>
      <c r="B705" s="3" t="s">
        <v>854</v>
      </c>
      <c r="C705" s="3" t="s">
        <v>24</v>
      </c>
      <c r="D705" s="3" t="s">
        <v>855</v>
      </c>
      <c r="E705" s="3">
        <v>3</v>
      </c>
      <c r="F705" s="3">
        <v>3</v>
      </c>
      <c r="G705" s="3">
        <v>172635</v>
      </c>
    </row>
    <row r="706" spans="1:7">
      <c r="A706" s="3" t="s">
        <v>856</v>
      </c>
      <c r="B706" s="3" t="s">
        <v>854</v>
      </c>
      <c r="C706" s="3" t="s">
        <v>24</v>
      </c>
      <c r="D706" s="3" t="s">
        <v>855</v>
      </c>
      <c r="E706" s="3">
        <v>3</v>
      </c>
      <c r="F706" s="3">
        <v>2</v>
      </c>
      <c r="G706" s="3">
        <v>122150</v>
      </c>
    </row>
    <row r="707" spans="1:7">
      <c r="A707" s="3" t="s">
        <v>857</v>
      </c>
      <c r="B707" s="3" t="s">
        <v>854</v>
      </c>
      <c r="C707" s="3" t="s">
        <v>24</v>
      </c>
      <c r="D707" s="3" t="s">
        <v>855</v>
      </c>
      <c r="E707" s="3">
        <v>4</v>
      </c>
      <c r="F707" s="3">
        <v>4</v>
      </c>
      <c r="G707" s="3">
        <v>197244</v>
      </c>
    </row>
    <row r="708" spans="1:7">
      <c r="A708" s="3" t="s">
        <v>858</v>
      </c>
      <c r="B708" s="3" t="s">
        <v>854</v>
      </c>
      <c r="C708" s="3" t="s">
        <v>24</v>
      </c>
      <c r="D708" s="3" t="s">
        <v>855</v>
      </c>
      <c r="E708" s="3">
        <v>3</v>
      </c>
      <c r="F708" s="3">
        <v>1</v>
      </c>
      <c r="G708" s="3">
        <v>96804</v>
      </c>
    </row>
    <row r="709" spans="1:7">
      <c r="A709" s="3" t="s">
        <v>859</v>
      </c>
      <c r="B709" s="3" t="s">
        <v>854</v>
      </c>
      <c r="C709" s="3" t="s">
        <v>24</v>
      </c>
      <c r="D709" s="3" t="s">
        <v>860</v>
      </c>
      <c r="E709" s="3">
        <v>2</v>
      </c>
      <c r="F709" s="3">
        <v>1</v>
      </c>
      <c r="G709" s="3">
        <v>90099</v>
      </c>
    </row>
    <row r="710" spans="1:7">
      <c r="A710" s="3" t="s">
        <v>861</v>
      </c>
      <c r="B710" s="3" t="s">
        <v>854</v>
      </c>
      <c r="C710" s="3" t="s">
        <v>24</v>
      </c>
      <c r="D710" s="3" t="s">
        <v>860</v>
      </c>
      <c r="E710" s="3">
        <v>4</v>
      </c>
      <c r="F710" s="3">
        <v>4</v>
      </c>
      <c r="G710" s="3">
        <v>191912</v>
      </c>
    </row>
    <row r="711" spans="1:7">
      <c r="A711" s="3" t="s">
        <v>862</v>
      </c>
      <c r="B711" s="3" t="s">
        <v>854</v>
      </c>
      <c r="C711" s="3" t="s">
        <v>24</v>
      </c>
      <c r="D711" s="3" t="s">
        <v>860</v>
      </c>
      <c r="E711" s="3">
        <v>2</v>
      </c>
      <c r="F711" s="3">
        <v>2</v>
      </c>
      <c r="G711" s="3">
        <v>96930</v>
      </c>
    </row>
    <row r="712" spans="1:7">
      <c r="A712" s="3" t="s">
        <v>863</v>
      </c>
      <c r="B712" s="3" t="s">
        <v>854</v>
      </c>
      <c r="C712" s="3" t="s">
        <v>24</v>
      </c>
      <c r="D712" s="3" t="s">
        <v>860</v>
      </c>
      <c r="E712" s="3">
        <v>3</v>
      </c>
      <c r="F712" s="3">
        <v>3</v>
      </c>
      <c r="G712" s="3">
        <v>178335</v>
      </c>
    </row>
    <row r="713" spans="1:7">
      <c r="A713" s="3" t="s">
        <v>864</v>
      </c>
      <c r="B713" s="3" t="s">
        <v>854</v>
      </c>
      <c r="C713" s="3" t="s">
        <v>24</v>
      </c>
      <c r="D713" s="3" t="s">
        <v>860</v>
      </c>
      <c r="E713" s="3">
        <v>3</v>
      </c>
      <c r="F713" s="3">
        <v>3</v>
      </c>
      <c r="G713" s="3">
        <v>159000</v>
      </c>
    </row>
    <row r="714" spans="1:7">
      <c r="A714" s="3" t="s">
        <v>865</v>
      </c>
      <c r="B714" s="3" t="s">
        <v>866</v>
      </c>
      <c r="C714" s="3" t="s">
        <v>24</v>
      </c>
      <c r="D714" s="3" t="s">
        <v>867</v>
      </c>
      <c r="E714" s="3">
        <v>5</v>
      </c>
      <c r="F714" s="3">
        <v>5</v>
      </c>
      <c r="G714" s="3">
        <v>292750</v>
      </c>
    </row>
    <row r="715" spans="1:7">
      <c r="A715" s="3" t="s">
        <v>868</v>
      </c>
      <c r="B715" s="3" t="s">
        <v>866</v>
      </c>
      <c r="C715" s="3" t="s">
        <v>24</v>
      </c>
      <c r="D715" s="3" t="s">
        <v>867</v>
      </c>
      <c r="E715" s="3">
        <v>3</v>
      </c>
      <c r="F715" s="3">
        <v>2</v>
      </c>
      <c r="G715" s="3">
        <v>157495</v>
      </c>
    </row>
    <row r="716" spans="1:7">
      <c r="A716" s="3" t="s">
        <v>869</v>
      </c>
      <c r="B716" s="3" t="s">
        <v>870</v>
      </c>
      <c r="C716" s="3" t="s">
        <v>24</v>
      </c>
      <c r="D716" s="3" t="s">
        <v>871</v>
      </c>
      <c r="E716" s="3">
        <v>2</v>
      </c>
      <c r="F716" s="3">
        <v>2</v>
      </c>
      <c r="G716" s="3">
        <v>104260</v>
      </c>
    </row>
    <row r="717" spans="1:7">
      <c r="A717" s="3" t="s">
        <v>872</v>
      </c>
      <c r="B717" s="3" t="s">
        <v>870</v>
      </c>
      <c r="C717" s="3" t="s">
        <v>24</v>
      </c>
      <c r="D717" s="3" t="s">
        <v>871</v>
      </c>
      <c r="E717" s="3">
        <v>2</v>
      </c>
      <c r="F717" s="3">
        <v>2</v>
      </c>
      <c r="G717" s="3">
        <v>113490</v>
      </c>
    </row>
    <row r="718" spans="1:7">
      <c r="A718" s="3" t="s">
        <v>873</v>
      </c>
      <c r="B718" s="3" t="s">
        <v>874</v>
      </c>
      <c r="C718" s="3" t="s">
        <v>24</v>
      </c>
      <c r="D718" s="3" t="s">
        <v>875</v>
      </c>
      <c r="E718" s="3">
        <v>2</v>
      </c>
      <c r="F718" s="3">
        <v>1</v>
      </c>
      <c r="G718" s="3">
        <v>100075</v>
      </c>
    </row>
    <row r="719" spans="1:7">
      <c r="A719" s="3" t="s">
        <v>876</v>
      </c>
      <c r="B719" s="3" t="s">
        <v>874</v>
      </c>
      <c r="C719" s="3" t="s">
        <v>24</v>
      </c>
      <c r="D719" s="3" t="s">
        <v>875</v>
      </c>
      <c r="E719" s="3">
        <v>4</v>
      </c>
      <c r="F719" s="3">
        <v>1</v>
      </c>
      <c r="G719" s="3">
        <v>129141</v>
      </c>
    </row>
    <row r="720" spans="1:7">
      <c r="A720" s="3" t="s">
        <v>877</v>
      </c>
      <c r="B720" s="3" t="s">
        <v>874</v>
      </c>
      <c r="C720" s="3" t="s">
        <v>24</v>
      </c>
      <c r="D720" s="3" t="s">
        <v>878</v>
      </c>
      <c r="E720" s="3">
        <v>4</v>
      </c>
      <c r="F720" s="3">
        <v>1</v>
      </c>
      <c r="G720" s="3">
        <v>150781</v>
      </c>
    </row>
    <row r="721" spans="1:7">
      <c r="A721" s="3" t="s">
        <v>879</v>
      </c>
      <c r="B721" s="3" t="s">
        <v>874</v>
      </c>
      <c r="C721" s="3" t="s">
        <v>24</v>
      </c>
      <c r="D721" s="3" t="s">
        <v>878</v>
      </c>
      <c r="E721" s="3">
        <v>5</v>
      </c>
      <c r="F721" s="3">
        <v>4</v>
      </c>
      <c r="G721" s="3">
        <v>214494</v>
      </c>
    </row>
    <row r="722" spans="1:7">
      <c r="A722" s="3" t="s">
        <v>880</v>
      </c>
      <c r="B722" s="3" t="s">
        <v>874</v>
      </c>
      <c r="C722" s="3" t="s">
        <v>24</v>
      </c>
      <c r="D722" s="3" t="s">
        <v>878</v>
      </c>
      <c r="E722" s="3">
        <v>5</v>
      </c>
      <c r="F722" s="3">
        <v>4</v>
      </c>
      <c r="G722" s="3">
        <v>251673</v>
      </c>
    </row>
    <row r="723" spans="1:7">
      <c r="A723" s="3" t="s">
        <v>881</v>
      </c>
      <c r="B723" s="3" t="s">
        <v>874</v>
      </c>
      <c r="C723" s="3" t="s">
        <v>24</v>
      </c>
      <c r="D723" s="3" t="s">
        <v>875</v>
      </c>
      <c r="E723" s="3">
        <v>3</v>
      </c>
      <c r="F723" s="3">
        <v>3</v>
      </c>
      <c r="G723" s="3">
        <v>136068</v>
      </c>
    </row>
    <row r="724" spans="1:7">
      <c r="A724" s="3" t="s">
        <v>882</v>
      </c>
      <c r="B724" s="3" t="s">
        <v>874</v>
      </c>
      <c r="C724" s="3" t="s">
        <v>24</v>
      </c>
      <c r="D724" s="3" t="s">
        <v>878</v>
      </c>
      <c r="E724" s="3">
        <v>5</v>
      </c>
      <c r="F724" s="3">
        <v>1</v>
      </c>
      <c r="G724" s="3">
        <v>219662</v>
      </c>
    </row>
    <row r="725" spans="1:7">
      <c r="A725" s="3" t="s">
        <v>883</v>
      </c>
      <c r="B725" s="3" t="s">
        <v>874</v>
      </c>
      <c r="C725" s="3" t="s">
        <v>24</v>
      </c>
      <c r="D725" s="3" t="s">
        <v>878</v>
      </c>
      <c r="E725" s="3">
        <v>4</v>
      </c>
      <c r="F725" s="3">
        <v>4</v>
      </c>
      <c r="G725" s="3">
        <v>191792</v>
      </c>
    </row>
    <row r="726" spans="1:7">
      <c r="A726" s="3" t="s">
        <v>884</v>
      </c>
      <c r="B726" s="3" t="s">
        <v>874</v>
      </c>
      <c r="C726" s="3" t="s">
        <v>24</v>
      </c>
      <c r="D726" s="3" t="s">
        <v>885</v>
      </c>
      <c r="E726" s="3">
        <v>5</v>
      </c>
      <c r="F726" s="3">
        <v>5</v>
      </c>
      <c r="G726" s="3">
        <v>259040</v>
      </c>
    </row>
    <row r="727" spans="1:7">
      <c r="A727" s="3" t="s">
        <v>886</v>
      </c>
      <c r="B727" s="3" t="s">
        <v>874</v>
      </c>
      <c r="C727" s="3" t="s">
        <v>24</v>
      </c>
      <c r="D727" s="3" t="s">
        <v>875</v>
      </c>
      <c r="E727" s="3">
        <v>4</v>
      </c>
      <c r="F727" s="3">
        <v>2</v>
      </c>
      <c r="G727" s="3">
        <v>197554</v>
      </c>
    </row>
    <row r="728" spans="1:7">
      <c r="A728" s="3" t="s">
        <v>887</v>
      </c>
      <c r="B728" s="3" t="s">
        <v>874</v>
      </c>
      <c r="C728" s="3" t="s">
        <v>24</v>
      </c>
      <c r="D728" s="3" t="s">
        <v>878</v>
      </c>
      <c r="E728" s="3">
        <v>2</v>
      </c>
      <c r="F728" s="3">
        <v>1</v>
      </c>
      <c r="G728" s="3">
        <v>87849</v>
      </c>
    </row>
    <row r="729" spans="1:7">
      <c r="A729" s="3" t="s">
        <v>888</v>
      </c>
      <c r="B729" s="3" t="s">
        <v>874</v>
      </c>
      <c r="C729" s="3" t="s">
        <v>24</v>
      </c>
      <c r="D729" s="3" t="s">
        <v>875</v>
      </c>
      <c r="E729" s="3">
        <v>2</v>
      </c>
      <c r="F729" s="3">
        <v>1</v>
      </c>
      <c r="G729" s="3">
        <v>96231</v>
      </c>
    </row>
    <row r="730" spans="1:7">
      <c r="A730" s="3" t="s">
        <v>889</v>
      </c>
      <c r="B730" s="3" t="s">
        <v>874</v>
      </c>
      <c r="C730" s="3" t="s">
        <v>24</v>
      </c>
      <c r="D730" s="3" t="s">
        <v>878</v>
      </c>
      <c r="E730" s="3">
        <v>2</v>
      </c>
      <c r="F730" s="3">
        <v>1</v>
      </c>
      <c r="G730" s="3">
        <v>80391</v>
      </c>
    </row>
    <row r="731" spans="1:7">
      <c r="A731" s="3" t="s">
        <v>890</v>
      </c>
      <c r="B731" s="3" t="s">
        <v>874</v>
      </c>
      <c r="C731" s="3" t="s">
        <v>24</v>
      </c>
      <c r="D731" s="3" t="s">
        <v>875</v>
      </c>
      <c r="E731" s="3">
        <v>4</v>
      </c>
      <c r="F731" s="3">
        <v>2</v>
      </c>
      <c r="G731" s="3">
        <v>166306</v>
      </c>
    </row>
    <row r="732" spans="1:7">
      <c r="A732" s="3" t="s">
        <v>891</v>
      </c>
      <c r="B732" s="3" t="s">
        <v>874</v>
      </c>
      <c r="C732" s="3" t="s">
        <v>24</v>
      </c>
      <c r="D732" s="3" t="s">
        <v>875</v>
      </c>
      <c r="E732" s="3">
        <v>3</v>
      </c>
      <c r="F732" s="3">
        <v>1</v>
      </c>
      <c r="G732" s="3">
        <v>134711</v>
      </c>
    </row>
    <row r="733" spans="1:7">
      <c r="A733" s="3" t="s">
        <v>892</v>
      </c>
      <c r="B733" s="3" t="s">
        <v>874</v>
      </c>
      <c r="C733" s="3" t="s">
        <v>24</v>
      </c>
      <c r="D733" s="3" t="s">
        <v>878</v>
      </c>
      <c r="E733" s="3">
        <v>4</v>
      </c>
      <c r="F733" s="3">
        <v>1</v>
      </c>
      <c r="G733" s="3">
        <v>157556</v>
      </c>
    </row>
    <row r="734" spans="1:7">
      <c r="A734" s="3" t="s">
        <v>893</v>
      </c>
      <c r="B734" s="3" t="s">
        <v>874</v>
      </c>
      <c r="C734" s="3" t="s">
        <v>24</v>
      </c>
      <c r="D734" s="3" t="s">
        <v>875</v>
      </c>
      <c r="E734" s="3">
        <v>4</v>
      </c>
      <c r="F734" s="3">
        <v>1</v>
      </c>
      <c r="G734" s="3">
        <v>161796</v>
      </c>
    </row>
    <row r="735" spans="1:7">
      <c r="A735" s="3" t="s">
        <v>894</v>
      </c>
      <c r="B735" s="3" t="s">
        <v>874</v>
      </c>
      <c r="C735" s="3" t="s">
        <v>24</v>
      </c>
      <c r="D735" s="3" t="s">
        <v>878</v>
      </c>
      <c r="E735" s="3">
        <v>2</v>
      </c>
      <c r="F735" s="3">
        <v>1</v>
      </c>
      <c r="G735" s="3">
        <v>83519</v>
      </c>
    </row>
    <row r="736" spans="1:7">
      <c r="A736" s="3" t="s">
        <v>895</v>
      </c>
      <c r="B736" s="3" t="s">
        <v>874</v>
      </c>
      <c r="C736" s="3" t="s">
        <v>24</v>
      </c>
      <c r="D736" s="3" t="s">
        <v>875</v>
      </c>
      <c r="E736" s="3">
        <v>5</v>
      </c>
      <c r="F736" s="3">
        <v>5</v>
      </c>
      <c r="G736" s="3">
        <v>228950</v>
      </c>
    </row>
    <row r="737" spans="1:7">
      <c r="A737" s="3" t="s">
        <v>896</v>
      </c>
      <c r="B737" s="3" t="s">
        <v>874</v>
      </c>
      <c r="C737" s="3" t="s">
        <v>24</v>
      </c>
      <c r="D737" s="3" t="s">
        <v>878</v>
      </c>
      <c r="E737" s="3">
        <v>4</v>
      </c>
      <c r="F737" s="3">
        <v>1</v>
      </c>
      <c r="G737" s="3">
        <v>128235</v>
      </c>
    </row>
    <row r="738" spans="1:7">
      <c r="A738" s="3" t="s">
        <v>897</v>
      </c>
      <c r="B738" s="3" t="s">
        <v>874</v>
      </c>
      <c r="C738" s="3" t="s">
        <v>24</v>
      </c>
      <c r="D738" s="3" t="s">
        <v>875</v>
      </c>
      <c r="E738" s="3">
        <v>4</v>
      </c>
      <c r="F738" s="3">
        <v>3</v>
      </c>
      <c r="G738" s="3">
        <v>169941</v>
      </c>
    </row>
    <row r="739" spans="1:7">
      <c r="A739" s="3" t="s">
        <v>898</v>
      </c>
      <c r="B739" s="3" t="s">
        <v>874</v>
      </c>
      <c r="C739" s="3" t="s">
        <v>24</v>
      </c>
      <c r="D739" s="3" t="s">
        <v>875</v>
      </c>
      <c r="E739" s="3">
        <v>2</v>
      </c>
      <c r="F739" s="3">
        <v>2</v>
      </c>
      <c r="G739" s="3">
        <v>104896</v>
      </c>
    </row>
    <row r="740" spans="1:7">
      <c r="A740" s="3" t="s">
        <v>899</v>
      </c>
      <c r="B740" s="3" t="s">
        <v>874</v>
      </c>
      <c r="C740" s="3" t="s">
        <v>24</v>
      </c>
      <c r="D740" s="3" t="s">
        <v>875</v>
      </c>
      <c r="E740" s="3">
        <v>4</v>
      </c>
      <c r="F740" s="3">
        <v>1</v>
      </c>
      <c r="G740" s="3">
        <v>121516</v>
      </c>
    </row>
    <row r="741" spans="1:7">
      <c r="A741" s="3" t="s">
        <v>900</v>
      </c>
      <c r="B741" s="3" t="s">
        <v>874</v>
      </c>
      <c r="C741" s="3" t="s">
        <v>24</v>
      </c>
      <c r="D741" s="3" t="s">
        <v>875</v>
      </c>
      <c r="E741" s="3">
        <v>2</v>
      </c>
      <c r="F741" s="3">
        <v>1</v>
      </c>
      <c r="G741" s="3">
        <v>79044</v>
      </c>
    </row>
    <row r="742" spans="1:7">
      <c r="A742" s="3" t="s">
        <v>901</v>
      </c>
      <c r="B742" s="3" t="s">
        <v>874</v>
      </c>
      <c r="C742" s="3" t="s">
        <v>24</v>
      </c>
      <c r="D742" s="3" t="s">
        <v>875</v>
      </c>
      <c r="E742" s="3">
        <v>3</v>
      </c>
      <c r="F742" s="3">
        <v>2</v>
      </c>
      <c r="G742" s="3">
        <v>153134</v>
      </c>
    </row>
    <row r="743" spans="1:7">
      <c r="A743" s="3" t="s">
        <v>902</v>
      </c>
      <c r="B743" s="3" t="s">
        <v>874</v>
      </c>
      <c r="C743" s="3" t="s">
        <v>24</v>
      </c>
      <c r="D743" s="3" t="s">
        <v>875</v>
      </c>
      <c r="E743" s="3">
        <v>3</v>
      </c>
      <c r="F743" s="3">
        <v>1</v>
      </c>
      <c r="G743" s="3">
        <v>99846</v>
      </c>
    </row>
    <row r="744" spans="1:7">
      <c r="A744" s="3" t="s">
        <v>903</v>
      </c>
      <c r="B744" s="3" t="s">
        <v>904</v>
      </c>
      <c r="C744" s="3" t="s">
        <v>24</v>
      </c>
      <c r="D744" s="3" t="s">
        <v>905</v>
      </c>
      <c r="E744" s="3">
        <v>3</v>
      </c>
      <c r="F744" s="3">
        <v>2</v>
      </c>
      <c r="G744" s="3">
        <v>144981</v>
      </c>
    </row>
    <row r="745" spans="1:7">
      <c r="A745" s="3" t="s">
        <v>906</v>
      </c>
      <c r="B745" s="3" t="s">
        <v>904</v>
      </c>
      <c r="C745" s="3" t="s">
        <v>24</v>
      </c>
      <c r="D745" s="3" t="s">
        <v>905</v>
      </c>
      <c r="E745" s="3">
        <v>5</v>
      </c>
      <c r="F745" s="3">
        <v>1</v>
      </c>
      <c r="G745" s="3">
        <v>208756</v>
      </c>
    </row>
    <row r="746" spans="1:7">
      <c r="A746" s="3" t="s">
        <v>907</v>
      </c>
      <c r="B746" s="3" t="s">
        <v>904</v>
      </c>
      <c r="C746" s="3" t="s">
        <v>24</v>
      </c>
      <c r="D746" s="3" t="s">
        <v>905</v>
      </c>
      <c r="E746" s="3">
        <v>3</v>
      </c>
      <c r="F746" s="3">
        <v>1</v>
      </c>
      <c r="G746" s="3">
        <v>105711</v>
      </c>
    </row>
    <row r="747" spans="1:7">
      <c r="A747" s="3" t="s">
        <v>908</v>
      </c>
      <c r="B747" s="3" t="s">
        <v>904</v>
      </c>
      <c r="C747" s="3" t="s">
        <v>24</v>
      </c>
      <c r="D747" s="3" t="s">
        <v>905</v>
      </c>
      <c r="E747" s="3">
        <v>2</v>
      </c>
      <c r="F747" s="3">
        <v>2</v>
      </c>
      <c r="G747" s="3">
        <v>102396</v>
      </c>
    </row>
    <row r="748" spans="1:7">
      <c r="A748" s="3" t="s">
        <v>909</v>
      </c>
      <c r="B748" s="3" t="s">
        <v>904</v>
      </c>
      <c r="C748" s="3" t="s">
        <v>24</v>
      </c>
      <c r="D748" s="3" t="s">
        <v>905</v>
      </c>
      <c r="E748" s="3">
        <v>2</v>
      </c>
      <c r="F748" s="3">
        <v>1</v>
      </c>
      <c r="G748" s="3">
        <v>73948</v>
      </c>
    </row>
    <row r="749" spans="1:7">
      <c r="A749" s="3" t="s">
        <v>910</v>
      </c>
      <c r="B749" s="3" t="s">
        <v>904</v>
      </c>
      <c r="C749" s="3" t="s">
        <v>24</v>
      </c>
      <c r="D749" s="3" t="s">
        <v>905</v>
      </c>
      <c r="E749" s="3">
        <v>2</v>
      </c>
      <c r="F749" s="3">
        <v>1</v>
      </c>
      <c r="G749" s="3">
        <v>96546</v>
      </c>
    </row>
    <row r="750" spans="1:7">
      <c r="A750" s="3" t="s">
        <v>911</v>
      </c>
      <c r="B750" s="3" t="s">
        <v>912</v>
      </c>
      <c r="C750" s="3" t="s">
        <v>24</v>
      </c>
      <c r="D750" s="3" t="s">
        <v>913</v>
      </c>
      <c r="E750" s="3">
        <v>4</v>
      </c>
      <c r="F750" s="3">
        <v>2</v>
      </c>
      <c r="G750" s="3">
        <v>185234</v>
      </c>
    </row>
    <row r="751" spans="1:7">
      <c r="A751" s="3" t="s">
        <v>914</v>
      </c>
      <c r="B751" s="3" t="s">
        <v>912</v>
      </c>
      <c r="C751" s="3" t="s">
        <v>24</v>
      </c>
      <c r="D751" s="3" t="s">
        <v>913</v>
      </c>
      <c r="E751" s="3">
        <v>4</v>
      </c>
      <c r="F751" s="3">
        <v>1</v>
      </c>
      <c r="G751" s="3">
        <v>165891</v>
      </c>
    </row>
    <row r="752" spans="1:7">
      <c r="A752" s="3" t="s">
        <v>915</v>
      </c>
      <c r="B752" s="3" t="s">
        <v>916</v>
      </c>
      <c r="C752" s="3" t="s">
        <v>24</v>
      </c>
      <c r="D752" s="3" t="s">
        <v>917</v>
      </c>
      <c r="E752" s="3">
        <v>3</v>
      </c>
      <c r="F752" s="3">
        <v>2</v>
      </c>
      <c r="G752" s="3">
        <v>146002</v>
      </c>
    </row>
    <row r="753" spans="1:7">
      <c r="A753" s="3" t="s">
        <v>918</v>
      </c>
      <c r="B753" s="3" t="s">
        <v>919</v>
      </c>
      <c r="C753" s="3" t="s">
        <v>24</v>
      </c>
      <c r="D753" s="3" t="s">
        <v>920</v>
      </c>
      <c r="E753" s="3">
        <v>3</v>
      </c>
      <c r="F753" s="3">
        <v>2</v>
      </c>
      <c r="G753" s="3">
        <v>119168</v>
      </c>
    </row>
    <row r="754" spans="1:7">
      <c r="A754" s="3" t="s">
        <v>921</v>
      </c>
      <c r="B754" s="3" t="s">
        <v>919</v>
      </c>
      <c r="C754" s="3" t="s">
        <v>24</v>
      </c>
      <c r="D754" s="3" t="s">
        <v>920</v>
      </c>
      <c r="E754" s="3">
        <v>3</v>
      </c>
      <c r="F754" s="3">
        <v>2</v>
      </c>
      <c r="G754" s="3">
        <v>143224</v>
      </c>
    </row>
    <row r="755" spans="1:7">
      <c r="A755" s="3" t="s">
        <v>922</v>
      </c>
      <c r="B755" s="3" t="s">
        <v>919</v>
      </c>
      <c r="C755" s="3" t="s">
        <v>24</v>
      </c>
      <c r="D755" s="3" t="s">
        <v>920</v>
      </c>
      <c r="E755" s="3">
        <v>5</v>
      </c>
      <c r="F755" s="3">
        <v>5</v>
      </c>
      <c r="G755" s="3">
        <v>261660</v>
      </c>
    </row>
    <row r="756" spans="1:7">
      <c r="A756" s="3" t="s">
        <v>923</v>
      </c>
      <c r="B756" s="3" t="s">
        <v>924</v>
      </c>
      <c r="C756" s="3" t="s">
        <v>24</v>
      </c>
      <c r="D756" s="3" t="s">
        <v>925</v>
      </c>
      <c r="E756" s="3">
        <v>3</v>
      </c>
      <c r="F756" s="3">
        <v>2</v>
      </c>
      <c r="G756" s="3">
        <v>157765</v>
      </c>
    </row>
    <row r="757" spans="1:7">
      <c r="A757" s="3" t="s">
        <v>926</v>
      </c>
      <c r="B757" s="3" t="s">
        <v>927</v>
      </c>
      <c r="C757" s="3" t="s">
        <v>24</v>
      </c>
      <c r="D757" s="3" t="s">
        <v>928</v>
      </c>
      <c r="E757" s="3">
        <v>2</v>
      </c>
      <c r="F757" s="3">
        <v>1</v>
      </c>
      <c r="G757" s="3">
        <v>90303</v>
      </c>
    </row>
    <row r="758" spans="1:7">
      <c r="A758" s="3" t="s">
        <v>929</v>
      </c>
      <c r="B758" s="3" t="s">
        <v>927</v>
      </c>
      <c r="C758" s="3" t="s">
        <v>24</v>
      </c>
      <c r="D758" s="3" t="s">
        <v>928</v>
      </c>
      <c r="E758" s="3">
        <v>5</v>
      </c>
      <c r="F758" s="3">
        <v>1</v>
      </c>
      <c r="G758" s="3">
        <v>175195</v>
      </c>
    </row>
    <row r="759" spans="1:7">
      <c r="A759" s="3" t="s">
        <v>930</v>
      </c>
      <c r="B759" s="3" t="s">
        <v>927</v>
      </c>
      <c r="C759" s="3" t="s">
        <v>24</v>
      </c>
      <c r="D759" s="3" t="s">
        <v>928</v>
      </c>
      <c r="E759" s="3">
        <v>3</v>
      </c>
      <c r="F759" s="3">
        <v>2</v>
      </c>
      <c r="G759" s="3">
        <v>116931</v>
      </c>
    </row>
    <row r="760" spans="1:7">
      <c r="A760" s="3" t="s">
        <v>931</v>
      </c>
      <c r="B760" s="3" t="s">
        <v>927</v>
      </c>
      <c r="C760" s="3" t="s">
        <v>24</v>
      </c>
      <c r="D760" s="3" t="s">
        <v>928</v>
      </c>
      <c r="E760" s="3">
        <v>2</v>
      </c>
      <c r="F760" s="3">
        <v>2</v>
      </c>
      <c r="G760" s="3">
        <v>117752</v>
      </c>
    </row>
    <row r="761" spans="1:7">
      <c r="A761" s="3" t="s">
        <v>932</v>
      </c>
      <c r="B761" s="3" t="s">
        <v>933</v>
      </c>
      <c r="C761" s="3" t="s">
        <v>24</v>
      </c>
      <c r="D761" s="3" t="s">
        <v>934</v>
      </c>
      <c r="E761" s="3">
        <v>2</v>
      </c>
      <c r="F761" s="3">
        <v>1</v>
      </c>
      <c r="G761" s="3">
        <v>96254</v>
      </c>
    </row>
    <row r="762" spans="1:7">
      <c r="A762" s="3" t="s">
        <v>935</v>
      </c>
      <c r="B762" s="3" t="s">
        <v>933</v>
      </c>
      <c r="C762" s="3" t="s">
        <v>24</v>
      </c>
      <c r="D762" s="3" t="s">
        <v>934</v>
      </c>
      <c r="E762" s="3">
        <v>4</v>
      </c>
      <c r="F762" s="3">
        <v>2</v>
      </c>
      <c r="G762" s="3">
        <v>157260</v>
      </c>
    </row>
    <row r="763" spans="1:7">
      <c r="A763" s="3" t="s">
        <v>936</v>
      </c>
      <c r="B763" s="3" t="s">
        <v>933</v>
      </c>
      <c r="C763" s="3" t="s">
        <v>24</v>
      </c>
      <c r="D763" s="3" t="s">
        <v>934</v>
      </c>
      <c r="E763" s="3">
        <v>3</v>
      </c>
      <c r="F763" s="3">
        <v>2</v>
      </c>
      <c r="G763" s="3">
        <v>130455</v>
      </c>
    </row>
    <row r="764" spans="1:7">
      <c r="A764" s="3" t="s">
        <v>937</v>
      </c>
      <c r="B764" s="3" t="s">
        <v>933</v>
      </c>
      <c r="C764" s="3" t="s">
        <v>24</v>
      </c>
      <c r="D764" s="3" t="s">
        <v>934</v>
      </c>
      <c r="E764" s="3">
        <v>3</v>
      </c>
      <c r="F764" s="3">
        <v>2</v>
      </c>
      <c r="G764" s="3">
        <v>133749</v>
      </c>
    </row>
    <row r="765" spans="1:7">
      <c r="A765" s="3" t="s">
        <v>938</v>
      </c>
      <c r="B765" s="3" t="s">
        <v>933</v>
      </c>
      <c r="C765" s="3" t="s">
        <v>24</v>
      </c>
      <c r="D765" s="3" t="s">
        <v>934</v>
      </c>
      <c r="E765" s="3">
        <v>3</v>
      </c>
      <c r="F765" s="3">
        <v>3</v>
      </c>
      <c r="G765" s="3">
        <v>166017</v>
      </c>
    </row>
    <row r="766" spans="1:7">
      <c r="A766" s="3" t="s">
        <v>939</v>
      </c>
      <c r="B766" s="3" t="s">
        <v>933</v>
      </c>
      <c r="C766" s="3" t="s">
        <v>24</v>
      </c>
      <c r="D766" s="3" t="s">
        <v>934</v>
      </c>
      <c r="E766" s="3">
        <v>3</v>
      </c>
      <c r="F766" s="3">
        <v>3</v>
      </c>
      <c r="G766" s="3">
        <v>182862</v>
      </c>
    </row>
    <row r="767" spans="1:7">
      <c r="A767" s="3" t="s">
        <v>940</v>
      </c>
      <c r="B767" s="3" t="s">
        <v>933</v>
      </c>
      <c r="C767" s="3" t="s">
        <v>24</v>
      </c>
      <c r="D767" s="3" t="s">
        <v>934</v>
      </c>
      <c r="E767" s="3">
        <v>4</v>
      </c>
      <c r="F767" s="3">
        <v>4</v>
      </c>
      <c r="G767" s="3">
        <v>198176</v>
      </c>
    </row>
    <row r="768" spans="1:7">
      <c r="A768" s="3" t="s">
        <v>941</v>
      </c>
      <c r="B768" s="3" t="s">
        <v>942</v>
      </c>
      <c r="C768" s="3" t="s">
        <v>24</v>
      </c>
      <c r="D768" s="3" t="s">
        <v>943</v>
      </c>
      <c r="E768" s="3">
        <v>4</v>
      </c>
      <c r="F768" s="3">
        <v>1</v>
      </c>
      <c r="G768" s="3">
        <v>167339</v>
      </c>
    </row>
    <row r="769" spans="1:7">
      <c r="A769" s="3" t="s">
        <v>944</v>
      </c>
      <c r="B769" s="3" t="s">
        <v>942</v>
      </c>
      <c r="C769" s="3" t="s">
        <v>24</v>
      </c>
      <c r="D769" s="3" t="s">
        <v>943</v>
      </c>
      <c r="E769" s="3">
        <v>5</v>
      </c>
      <c r="F769" s="3">
        <v>5</v>
      </c>
      <c r="G769" s="3">
        <v>300805</v>
      </c>
    </row>
    <row r="770" spans="1:7">
      <c r="A770" s="3" t="s">
        <v>945</v>
      </c>
      <c r="B770" s="3" t="s">
        <v>946</v>
      </c>
      <c r="C770" s="3" t="s">
        <v>24</v>
      </c>
      <c r="D770" s="3" t="s">
        <v>947</v>
      </c>
      <c r="E770" s="3">
        <v>5</v>
      </c>
      <c r="F770" s="3">
        <v>4</v>
      </c>
      <c r="G770" s="3">
        <v>224350</v>
      </c>
    </row>
    <row r="771" spans="1:7">
      <c r="A771" s="3" t="s">
        <v>948</v>
      </c>
      <c r="B771" s="3" t="s">
        <v>949</v>
      </c>
      <c r="C771" s="3" t="s">
        <v>24</v>
      </c>
      <c r="D771" s="3" t="s">
        <v>950</v>
      </c>
      <c r="E771" s="3">
        <v>2</v>
      </c>
      <c r="F771" s="3">
        <v>1</v>
      </c>
      <c r="G771" s="3">
        <v>91056</v>
      </c>
    </row>
    <row r="772" spans="1:7">
      <c r="A772" s="3" t="s">
        <v>951</v>
      </c>
      <c r="B772" s="3" t="s">
        <v>952</v>
      </c>
      <c r="C772" s="3" t="s">
        <v>24</v>
      </c>
      <c r="D772" s="3" t="s">
        <v>953</v>
      </c>
      <c r="E772" s="3">
        <v>2</v>
      </c>
      <c r="F772" s="3">
        <v>2</v>
      </c>
      <c r="G772" s="3">
        <v>117634</v>
      </c>
    </row>
    <row r="773" spans="1:7">
      <c r="A773" s="3" t="s">
        <v>954</v>
      </c>
      <c r="B773" s="3" t="s">
        <v>955</v>
      </c>
      <c r="C773" s="3" t="s">
        <v>956</v>
      </c>
      <c r="D773" s="3" t="s">
        <v>957</v>
      </c>
      <c r="E773" s="3">
        <v>3</v>
      </c>
      <c r="F773" s="3">
        <v>2</v>
      </c>
      <c r="G773" s="3">
        <v>130673</v>
      </c>
    </row>
    <row r="774" spans="1:7">
      <c r="A774" s="3" t="s">
        <v>958</v>
      </c>
      <c r="B774" s="3" t="s">
        <v>955</v>
      </c>
      <c r="C774" s="3" t="s">
        <v>956</v>
      </c>
      <c r="D774" s="3" t="s">
        <v>957</v>
      </c>
      <c r="E774" s="3">
        <v>5</v>
      </c>
      <c r="F774" s="3">
        <v>4</v>
      </c>
      <c r="G774" s="3">
        <v>227309</v>
      </c>
    </row>
    <row r="775" spans="1:7">
      <c r="A775" s="3" t="s">
        <v>959</v>
      </c>
      <c r="B775" s="3" t="s">
        <v>955</v>
      </c>
      <c r="C775" s="3" t="s">
        <v>956</v>
      </c>
      <c r="D775" s="3" t="s">
        <v>960</v>
      </c>
      <c r="E775" s="3">
        <v>2</v>
      </c>
      <c r="F775" s="3">
        <v>2</v>
      </c>
      <c r="G775" s="3">
        <v>114216</v>
      </c>
    </row>
    <row r="776" spans="1:7">
      <c r="A776" s="3" t="s">
        <v>961</v>
      </c>
      <c r="B776" s="3" t="s">
        <v>955</v>
      </c>
      <c r="C776" s="3" t="s">
        <v>956</v>
      </c>
      <c r="D776" s="3" t="s">
        <v>957</v>
      </c>
      <c r="E776" s="3">
        <v>2</v>
      </c>
      <c r="F776" s="3">
        <v>2</v>
      </c>
      <c r="G776" s="3">
        <v>110316</v>
      </c>
    </row>
    <row r="777" spans="1:7">
      <c r="A777" s="3" t="s">
        <v>962</v>
      </c>
      <c r="B777" s="3" t="s">
        <v>955</v>
      </c>
      <c r="C777" s="3" t="s">
        <v>956</v>
      </c>
      <c r="D777" s="3" t="s">
        <v>960</v>
      </c>
      <c r="E777" s="3">
        <v>5</v>
      </c>
      <c r="F777" s="3">
        <v>5</v>
      </c>
      <c r="G777" s="3">
        <v>233345</v>
      </c>
    </row>
    <row r="778" spans="1:7">
      <c r="A778" s="3" t="s">
        <v>963</v>
      </c>
      <c r="B778" s="3" t="s">
        <v>955</v>
      </c>
      <c r="C778" s="3" t="s">
        <v>956</v>
      </c>
      <c r="D778" s="3" t="s">
        <v>957</v>
      </c>
      <c r="E778" s="3">
        <v>3</v>
      </c>
      <c r="F778" s="3">
        <v>1</v>
      </c>
      <c r="G778" s="3">
        <v>110814</v>
      </c>
    </row>
    <row r="779" spans="1:7">
      <c r="A779" s="3" t="s">
        <v>964</v>
      </c>
      <c r="B779" s="3" t="s">
        <v>955</v>
      </c>
      <c r="C779" s="3" t="s">
        <v>956</v>
      </c>
      <c r="D779" s="3" t="s">
        <v>957</v>
      </c>
      <c r="E779" s="3">
        <v>5</v>
      </c>
      <c r="F779" s="3">
        <v>3</v>
      </c>
      <c r="G779" s="3">
        <v>181462</v>
      </c>
    </row>
    <row r="780" spans="1:7">
      <c r="A780" s="3" t="s">
        <v>965</v>
      </c>
      <c r="B780" s="3" t="s">
        <v>955</v>
      </c>
      <c r="C780" s="3" t="s">
        <v>956</v>
      </c>
      <c r="D780" s="3" t="s">
        <v>957</v>
      </c>
      <c r="E780" s="3">
        <v>4</v>
      </c>
      <c r="F780" s="3">
        <v>3</v>
      </c>
      <c r="G780" s="3">
        <v>159348</v>
      </c>
    </row>
    <row r="781" spans="1:7">
      <c r="A781" s="3" t="s">
        <v>966</v>
      </c>
      <c r="B781" s="3" t="s">
        <v>955</v>
      </c>
      <c r="C781" s="3" t="s">
        <v>956</v>
      </c>
      <c r="D781" s="3" t="s">
        <v>957</v>
      </c>
      <c r="E781" s="3">
        <v>5</v>
      </c>
      <c r="F781" s="3">
        <v>4</v>
      </c>
      <c r="G781" s="3">
        <v>249297</v>
      </c>
    </row>
    <row r="782" spans="1:7">
      <c r="A782" s="3" t="s">
        <v>967</v>
      </c>
      <c r="B782" s="3" t="s">
        <v>955</v>
      </c>
      <c r="C782" s="3" t="s">
        <v>956</v>
      </c>
      <c r="D782" s="3" t="s">
        <v>960</v>
      </c>
      <c r="E782" s="3">
        <v>3</v>
      </c>
      <c r="F782" s="3">
        <v>2</v>
      </c>
      <c r="G782" s="3">
        <v>128962</v>
      </c>
    </row>
    <row r="783" spans="1:7">
      <c r="A783" s="3" t="s">
        <v>968</v>
      </c>
      <c r="B783" s="3" t="s">
        <v>955</v>
      </c>
      <c r="C783" s="3" t="s">
        <v>956</v>
      </c>
      <c r="D783" s="3" t="s">
        <v>957</v>
      </c>
      <c r="E783" s="3">
        <v>5</v>
      </c>
      <c r="F783" s="3">
        <v>3</v>
      </c>
      <c r="G783" s="3">
        <v>251607</v>
      </c>
    </row>
    <row r="784" spans="1:7">
      <c r="A784" s="3" t="s">
        <v>969</v>
      </c>
      <c r="B784" s="3" t="s">
        <v>955</v>
      </c>
      <c r="C784" s="3" t="s">
        <v>956</v>
      </c>
      <c r="D784" s="3" t="s">
        <v>957</v>
      </c>
      <c r="E784" s="3">
        <v>4</v>
      </c>
      <c r="F784" s="3">
        <v>2</v>
      </c>
      <c r="G784" s="3">
        <v>183064</v>
      </c>
    </row>
    <row r="785" spans="1:7">
      <c r="A785" s="3" t="s">
        <v>970</v>
      </c>
      <c r="B785" s="3" t="s">
        <v>955</v>
      </c>
      <c r="C785" s="3" t="s">
        <v>956</v>
      </c>
      <c r="D785" s="3" t="s">
        <v>957</v>
      </c>
      <c r="E785" s="3">
        <v>2</v>
      </c>
      <c r="F785" s="3">
        <v>1</v>
      </c>
      <c r="G785" s="3">
        <v>76003</v>
      </c>
    </row>
    <row r="786" spans="1:7">
      <c r="A786" s="3" t="s">
        <v>970</v>
      </c>
      <c r="B786" s="3" t="s">
        <v>955</v>
      </c>
      <c r="C786" s="3" t="s">
        <v>956</v>
      </c>
      <c r="D786" s="3" t="s">
        <v>957</v>
      </c>
      <c r="E786" s="3">
        <v>5</v>
      </c>
      <c r="F786" s="3">
        <v>3</v>
      </c>
      <c r="G786" s="3">
        <v>210201</v>
      </c>
    </row>
    <row r="787" spans="1:7">
      <c r="A787" s="3" t="s">
        <v>971</v>
      </c>
      <c r="B787" s="3" t="s">
        <v>955</v>
      </c>
      <c r="C787" s="3" t="s">
        <v>956</v>
      </c>
      <c r="D787" s="3" t="s">
        <v>960</v>
      </c>
      <c r="E787" s="3">
        <v>3</v>
      </c>
      <c r="F787" s="3">
        <v>3</v>
      </c>
      <c r="G787" s="3">
        <v>169419</v>
      </c>
    </row>
    <row r="788" spans="1:7">
      <c r="A788" s="3" t="s">
        <v>972</v>
      </c>
      <c r="B788" s="3" t="s">
        <v>955</v>
      </c>
      <c r="C788" s="3" t="s">
        <v>956</v>
      </c>
      <c r="D788" s="3" t="s">
        <v>957</v>
      </c>
      <c r="E788" s="3">
        <v>2</v>
      </c>
      <c r="F788" s="3">
        <v>2</v>
      </c>
      <c r="G788" s="3">
        <v>114442</v>
      </c>
    </row>
    <row r="789" spans="1:7">
      <c r="A789" s="3" t="s">
        <v>973</v>
      </c>
      <c r="B789" s="3" t="s">
        <v>955</v>
      </c>
      <c r="C789" s="3" t="s">
        <v>956</v>
      </c>
      <c r="D789" s="3" t="s">
        <v>957</v>
      </c>
      <c r="E789" s="3">
        <v>4</v>
      </c>
      <c r="F789" s="3">
        <v>4</v>
      </c>
      <c r="G789" s="3">
        <v>188932</v>
      </c>
    </row>
    <row r="790" spans="1:7">
      <c r="A790" s="3" t="s">
        <v>974</v>
      </c>
      <c r="B790" s="3" t="s">
        <v>955</v>
      </c>
      <c r="C790" s="3" t="s">
        <v>956</v>
      </c>
      <c r="D790" s="3" t="s">
        <v>957</v>
      </c>
      <c r="E790" s="3">
        <v>5</v>
      </c>
      <c r="F790" s="3">
        <v>2</v>
      </c>
      <c r="G790" s="3">
        <v>187176</v>
      </c>
    </row>
    <row r="791" spans="1:7">
      <c r="A791" s="3" t="s">
        <v>975</v>
      </c>
      <c r="B791" s="3" t="s">
        <v>955</v>
      </c>
      <c r="C791" s="3" t="s">
        <v>956</v>
      </c>
      <c r="D791" s="3" t="s">
        <v>960</v>
      </c>
      <c r="E791" s="3">
        <v>4</v>
      </c>
      <c r="F791" s="3">
        <v>2</v>
      </c>
      <c r="G791" s="3">
        <v>145126</v>
      </c>
    </row>
    <row r="792" spans="1:7">
      <c r="A792" s="3" t="s">
        <v>976</v>
      </c>
      <c r="B792" s="3" t="s">
        <v>955</v>
      </c>
      <c r="C792" s="3" t="s">
        <v>956</v>
      </c>
      <c r="D792" s="3" t="s">
        <v>960</v>
      </c>
      <c r="E792" s="3">
        <v>2</v>
      </c>
      <c r="F792" s="3">
        <v>1</v>
      </c>
      <c r="G792" s="3">
        <v>84871</v>
      </c>
    </row>
    <row r="793" spans="1:7">
      <c r="A793" s="3" t="s">
        <v>977</v>
      </c>
      <c r="B793" s="3" t="s">
        <v>955</v>
      </c>
      <c r="C793" s="3" t="s">
        <v>956</v>
      </c>
      <c r="D793" s="3" t="s">
        <v>957</v>
      </c>
      <c r="E793" s="3">
        <v>5</v>
      </c>
      <c r="F793" s="3">
        <v>2</v>
      </c>
      <c r="G793" s="3">
        <v>196423</v>
      </c>
    </row>
    <row r="794" spans="1:7">
      <c r="A794" s="3" t="s">
        <v>978</v>
      </c>
      <c r="B794" s="3" t="s">
        <v>955</v>
      </c>
      <c r="C794" s="3" t="s">
        <v>956</v>
      </c>
      <c r="D794" s="3" t="s">
        <v>957</v>
      </c>
      <c r="E794" s="3">
        <v>4</v>
      </c>
      <c r="F794" s="3">
        <v>4</v>
      </c>
      <c r="G794" s="3">
        <v>187984</v>
      </c>
    </row>
    <row r="795" spans="1:7">
      <c r="A795" s="3" t="s">
        <v>979</v>
      </c>
      <c r="B795" s="3" t="s">
        <v>955</v>
      </c>
      <c r="C795" s="3" t="s">
        <v>956</v>
      </c>
      <c r="D795" s="3" t="s">
        <v>957</v>
      </c>
      <c r="E795" s="3">
        <v>5</v>
      </c>
      <c r="F795" s="3">
        <v>1</v>
      </c>
      <c r="G795" s="3">
        <v>201948</v>
      </c>
    </row>
    <row r="796" spans="1:7">
      <c r="A796" s="3" t="s">
        <v>980</v>
      </c>
      <c r="B796" s="3" t="s">
        <v>955</v>
      </c>
      <c r="C796" s="3" t="s">
        <v>956</v>
      </c>
      <c r="D796" s="3" t="s">
        <v>957</v>
      </c>
      <c r="E796" s="3">
        <v>3</v>
      </c>
      <c r="F796" s="3">
        <v>3</v>
      </c>
      <c r="G796" s="3">
        <v>155439</v>
      </c>
    </row>
    <row r="797" spans="1:7">
      <c r="A797" s="3" t="s">
        <v>981</v>
      </c>
      <c r="B797" s="3" t="s">
        <v>982</v>
      </c>
      <c r="C797" s="3" t="s">
        <v>956</v>
      </c>
      <c r="D797" s="3" t="s">
        <v>983</v>
      </c>
      <c r="E797" s="3">
        <v>2</v>
      </c>
      <c r="F797" s="3">
        <v>2</v>
      </c>
      <c r="G797" s="3">
        <v>116776</v>
      </c>
    </row>
    <row r="798" spans="1:7">
      <c r="A798" s="3" t="s">
        <v>984</v>
      </c>
      <c r="B798" s="3" t="s">
        <v>982</v>
      </c>
      <c r="C798" s="3" t="s">
        <v>956</v>
      </c>
      <c r="D798" s="3" t="s">
        <v>983</v>
      </c>
      <c r="E798" s="3">
        <v>3</v>
      </c>
      <c r="F798" s="3">
        <v>2</v>
      </c>
      <c r="G798" s="3">
        <v>147922</v>
      </c>
    </row>
    <row r="799" spans="1:7">
      <c r="A799" s="3" t="s">
        <v>985</v>
      </c>
      <c r="B799" s="3" t="s">
        <v>982</v>
      </c>
      <c r="C799" s="3" t="s">
        <v>956</v>
      </c>
      <c r="D799" s="3" t="s">
        <v>983</v>
      </c>
      <c r="E799" s="3">
        <v>3</v>
      </c>
      <c r="F799" s="3">
        <v>3</v>
      </c>
      <c r="G799" s="3">
        <v>136893</v>
      </c>
    </row>
    <row r="800" spans="1:7">
      <c r="A800" s="3" t="s">
        <v>986</v>
      </c>
      <c r="B800" s="3" t="s">
        <v>982</v>
      </c>
      <c r="C800" s="3" t="s">
        <v>956</v>
      </c>
      <c r="D800" s="3" t="s">
        <v>983</v>
      </c>
      <c r="E800" s="3">
        <v>4</v>
      </c>
      <c r="F800" s="3">
        <v>1</v>
      </c>
      <c r="G800" s="3">
        <v>167741</v>
      </c>
    </row>
    <row r="801" spans="1:7">
      <c r="A801" s="3" t="s">
        <v>987</v>
      </c>
      <c r="B801" s="3" t="s">
        <v>982</v>
      </c>
      <c r="C801" s="3" t="s">
        <v>956</v>
      </c>
      <c r="D801" s="3" t="s">
        <v>983</v>
      </c>
      <c r="E801" s="3">
        <v>2</v>
      </c>
      <c r="F801" s="3">
        <v>1</v>
      </c>
      <c r="G801" s="3">
        <v>93609</v>
      </c>
    </row>
    <row r="802" spans="1:7">
      <c r="A802" s="3" t="s">
        <v>988</v>
      </c>
      <c r="B802" s="3" t="s">
        <v>989</v>
      </c>
      <c r="C802" s="3" t="s">
        <v>956</v>
      </c>
      <c r="D802" s="3" t="s">
        <v>990</v>
      </c>
      <c r="E802" s="3">
        <v>5</v>
      </c>
      <c r="F802" s="3">
        <v>5</v>
      </c>
      <c r="G802" s="3">
        <v>242190</v>
      </c>
    </row>
    <row r="803" spans="1:7">
      <c r="A803" s="3" t="s">
        <v>991</v>
      </c>
      <c r="B803" s="3" t="s">
        <v>992</v>
      </c>
      <c r="C803" s="3" t="s">
        <v>956</v>
      </c>
      <c r="D803" s="3" t="s">
        <v>993</v>
      </c>
      <c r="E803" s="3">
        <v>5</v>
      </c>
      <c r="F803" s="3">
        <v>4</v>
      </c>
      <c r="G803" s="3">
        <v>243064</v>
      </c>
    </row>
    <row r="804" spans="1:7">
      <c r="A804" s="3" t="s">
        <v>994</v>
      </c>
      <c r="B804" s="3" t="s">
        <v>995</v>
      </c>
      <c r="C804" s="3" t="s">
        <v>956</v>
      </c>
      <c r="D804" s="3" t="s">
        <v>996</v>
      </c>
      <c r="E804" s="3">
        <v>4</v>
      </c>
      <c r="F804" s="3">
        <v>3</v>
      </c>
      <c r="G804" s="3">
        <v>188959</v>
      </c>
    </row>
    <row r="805" spans="1:7">
      <c r="A805" s="3" t="s">
        <v>997</v>
      </c>
      <c r="B805" s="3" t="s">
        <v>995</v>
      </c>
      <c r="C805" s="3" t="s">
        <v>956</v>
      </c>
      <c r="D805" s="3" t="s">
        <v>996</v>
      </c>
      <c r="E805" s="3">
        <v>3</v>
      </c>
      <c r="F805" s="3">
        <v>1</v>
      </c>
      <c r="G805" s="3">
        <v>124902</v>
      </c>
    </row>
    <row r="806" spans="1:7">
      <c r="A806" s="3" t="s">
        <v>998</v>
      </c>
      <c r="B806" s="3" t="s">
        <v>995</v>
      </c>
      <c r="C806" s="3" t="s">
        <v>956</v>
      </c>
      <c r="D806" s="3" t="s">
        <v>996</v>
      </c>
      <c r="E806" s="3">
        <v>4</v>
      </c>
      <c r="F806" s="3">
        <v>4</v>
      </c>
      <c r="G806" s="3">
        <v>228784</v>
      </c>
    </row>
    <row r="807" spans="1:7">
      <c r="A807" s="3" t="s">
        <v>999</v>
      </c>
      <c r="B807" s="3" t="s">
        <v>995</v>
      </c>
      <c r="C807" s="3" t="s">
        <v>956</v>
      </c>
      <c r="D807" s="3" t="s">
        <v>996</v>
      </c>
      <c r="E807" s="3">
        <v>4</v>
      </c>
      <c r="F807" s="3">
        <v>2</v>
      </c>
      <c r="G807" s="3">
        <v>168782</v>
      </c>
    </row>
    <row r="808" spans="1:7">
      <c r="A808" s="3" t="s">
        <v>1000</v>
      </c>
      <c r="B808" s="3" t="s">
        <v>1001</v>
      </c>
      <c r="C808" s="3" t="s">
        <v>956</v>
      </c>
      <c r="D808" s="3" t="s">
        <v>1002</v>
      </c>
      <c r="E808" s="3">
        <v>3</v>
      </c>
      <c r="F808" s="3">
        <v>1</v>
      </c>
      <c r="G808" s="3">
        <v>122275</v>
      </c>
    </row>
    <row r="809" spans="1:7">
      <c r="A809" s="3" t="s">
        <v>1003</v>
      </c>
      <c r="B809" s="3" t="s">
        <v>1001</v>
      </c>
      <c r="C809" s="3" t="s">
        <v>956</v>
      </c>
      <c r="D809" s="3" t="s">
        <v>1004</v>
      </c>
      <c r="E809" s="3">
        <v>5</v>
      </c>
      <c r="F809" s="3">
        <v>5</v>
      </c>
      <c r="G809" s="3">
        <v>233795</v>
      </c>
    </row>
    <row r="810" spans="1:7">
      <c r="A810" s="3" t="s">
        <v>1005</v>
      </c>
      <c r="B810" s="3" t="s">
        <v>1001</v>
      </c>
      <c r="C810" s="3" t="s">
        <v>956</v>
      </c>
      <c r="D810" s="3" t="s">
        <v>1004</v>
      </c>
      <c r="E810" s="3">
        <v>3</v>
      </c>
      <c r="F810" s="3">
        <v>1</v>
      </c>
      <c r="G810" s="3">
        <v>120757</v>
      </c>
    </row>
    <row r="811" spans="1:7">
      <c r="A811" s="3" t="s">
        <v>1006</v>
      </c>
      <c r="B811" s="3" t="s">
        <v>1001</v>
      </c>
      <c r="C811" s="3" t="s">
        <v>956</v>
      </c>
      <c r="D811" s="3" t="s">
        <v>1004</v>
      </c>
      <c r="E811" s="3">
        <v>5</v>
      </c>
      <c r="F811" s="3">
        <v>4</v>
      </c>
      <c r="G811" s="3">
        <v>239762</v>
      </c>
    </row>
    <row r="812" spans="1:7">
      <c r="A812" s="3" t="s">
        <v>1007</v>
      </c>
      <c r="B812" s="3" t="s">
        <v>1001</v>
      </c>
      <c r="C812" s="3" t="s">
        <v>956</v>
      </c>
      <c r="D812" s="3" t="s">
        <v>1004</v>
      </c>
      <c r="E812" s="3">
        <v>5</v>
      </c>
      <c r="F812" s="3">
        <v>1</v>
      </c>
      <c r="G812" s="3">
        <v>197300</v>
      </c>
    </row>
    <row r="813" spans="1:7">
      <c r="A813" s="3" t="s">
        <v>1008</v>
      </c>
      <c r="B813" s="3" t="s">
        <v>1001</v>
      </c>
      <c r="C813" s="3" t="s">
        <v>956</v>
      </c>
      <c r="D813" s="3" t="s">
        <v>1004</v>
      </c>
      <c r="E813" s="3">
        <v>3</v>
      </c>
      <c r="F813" s="3">
        <v>1</v>
      </c>
      <c r="G813" s="3">
        <v>120887</v>
      </c>
    </row>
    <row r="814" spans="1:7">
      <c r="A814" s="3" t="s">
        <v>1009</v>
      </c>
      <c r="B814" s="3" t="s">
        <v>1001</v>
      </c>
      <c r="C814" s="3" t="s">
        <v>956</v>
      </c>
      <c r="D814" s="3" t="s">
        <v>1004</v>
      </c>
      <c r="E814" s="3">
        <v>2</v>
      </c>
      <c r="F814" s="3">
        <v>2</v>
      </c>
      <c r="G814" s="3">
        <v>119164</v>
      </c>
    </row>
    <row r="815" spans="1:7">
      <c r="A815" s="3" t="s">
        <v>1010</v>
      </c>
      <c r="B815" s="3" t="s">
        <v>1001</v>
      </c>
      <c r="C815" s="3" t="s">
        <v>956</v>
      </c>
      <c r="D815" s="3" t="s">
        <v>1002</v>
      </c>
      <c r="E815" s="3">
        <v>4</v>
      </c>
      <c r="F815" s="3">
        <v>3</v>
      </c>
      <c r="G815" s="3">
        <v>203892</v>
      </c>
    </row>
    <row r="816" spans="1:7">
      <c r="A816" s="3" t="s">
        <v>1011</v>
      </c>
      <c r="B816" s="3" t="s">
        <v>1001</v>
      </c>
      <c r="C816" s="3" t="s">
        <v>956</v>
      </c>
      <c r="D816" s="3" t="s">
        <v>1004</v>
      </c>
      <c r="E816" s="3">
        <v>5</v>
      </c>
      <c r="F816" s="3">
        <v>5</v>
      </c>
      <c r="G816" s="3">
        <v>291290</v>
      </c>
    </row>
    <row r="817" spans="1:7">
      <c r="A817" s="3" t="s">
        <v>1012</v>
      </c>
      <c r="B817" s="3" t="s">
        <v>1001</v>
      </c>
      <c r="C817" s="3" t="s">
        <v>956</v>
      </c>
      <c r="D817" s="3" t="s">
        <v>1004</v>
      </c>
      <c r="E817" s="3">
        <v>2</v>
      </c>
      <c r="F817" s="3">
        <v>2</v>
      </c>
      <c r="G817" s="3">
        <v>89390</v>
      </c>
    </row>
    <row r="818" spans="1:7">
      <c r="A818" s="3" t="s">
        <v>1012</v>
      </c>
      <c r="B818" s="3" t="s">
        <v>1001</v>
      </c>
      <c r="C818" s="3" t="s">
        <v>956</v>
      </c>
      <c r="D818" s="3" t="s">
        <v>1004</v>
      </c>
      <c r="E818" s="3">
        <v>3</v>
      </c>
      <c r="F818" s="3">
        <v>1</v>
      </c>
      <c r="G818" s="3">
        <v>134853</v>
      </c>
    </row>
    <row r="819" spans="1:7">
      <c r="A819" s="3" t="s">
        <v>1013</v>
      </c>
      <c r="B819" s="3" t="s">
        <v>1001</v>
      </c>
      <c r="C819" s="3" t="s">
        <v>956</v>
      </c>
      <c r="D819" s="3" t="s">
        <v>1014</v>
      </c>
      <c r="E819" s="3">
        <v>5</v>
      </c>
      <c r="F819" s="3">
        <v>4</v>
      </c>
      <c r="G819" s="3">
        <v>273929</v>
      </c>
    </row>
    <row r="820" spans="1:7">
      <c r="A820" s="3" t="s">
        <v>1015</v>
      </c>
      <c r="B820" s="3" t="s">
        <v>1001</v>
      </c>
      <c r="C820" s="3" t="s">
        <v>956</v>
      </c>
      <c r="D820" s="3" t="s">
        <v>1002</v>
      </c>
      <c r="E820" s="3">
        <v>3</v>
      </c>
      <c r="F820" s="3">
        <v>3</v>
      </c>
      <c r="G820" s="3">
        <v>157998</v>
      </c>
    </row>
    <row r="821" spans="1:7">
      <c r="A821" s="3" t="s">
        <v>1016</v>
      </c>
      <c r="B821" s="3" t="s">
        <v>1001</v>
      </c>
      <c r="C821" s="3" t="s">
        <v>956</v>
      </c>
      <c r="D821" s="3" t="s">
        <v>1002</v>
      </c>
      <c r="E821" s="3">
        <v>4</v>
      </c>
      <c r="F821" s="3">
        <v>2</v>
      </c>
      <c r="G821" s="3">
        <v>158918</v>
      </c>
    </row>
    <row r="822" spans="1:7">
      <c r="A822" s="3" t="s">
        <v>1017</v>
      </c>
      <c r="B822" s="3" t="s">
        <v>1001</v>
      </c>
      <c r="C822" s="3" t="s">
        <v>956</v>
      </c>
      <c r="D822" s="3" t="s">
        <v>1004</v>
      </c>
      <c r="E822" s="3">
        <v>5</v>
      </c>
      <c r="F822" s="3">
        <v>2</v>
      </c>
      <c r="G822" s="3">
        <v>207240</v>
      </c>
    </row>
    <row r="823" spans="1:7">
      <c r="A823" s="3" t="s">
        <v>1018</v>
      </c>
      <c r="B823" s="3" t="s">
        <v>1001</v>
      </c>
      <c r="C823" s="3" t="s">
        <v>956</v>
      </c>
      <c r="D823" s="3" t="s">
        <v>1004</v>
      </c>
      <c r="E823" s="3">
        <v>3</v>
      </c>
      <c r="F823" s="3">
        <v>1</v>
      </c>
      <c r="G823" s="3">
        <v>135970</v>
      </c>
    </row>
    <row r="824" spans="1:7">
      <c r="A824" s="3" t="s">
        <v>1019</v>
      </c>
      <c r="B824" s="3" t="s">
        <v>1001</v>
      </c>
      <c r="C824" s="3" t="s">
        <v>956</v>
      </c>
      <c r="D824" s="3" t="s">
        <v>1004</v>
      </c>
      <c r="E824" s="3">
        <v>4</v>
      </c>
      <c r="F824" s="3">
        <v>3</v>
      </c>
      <c r="G824" s="3">
        <v>166863</v>
      </c>
    </row>
    <row r="825" spans="1:7">
      <c r="A825" s="3" t="s">
        <v>1020</v>
      </c>
      <c r="B825" s="3" t="s">
        <v>1001</v>
      </c>
      <c r="C825" s="3" t="s">
        <v>956</v>
      </c>
      <c r="D825" s="3" t="s">
        <v>1004</v>
      </c>
      <c r="E825" s="3">
        <v>2</v>
      </c>
      <c r="F825" s="3">
        <v>2</v>
      </c>
      <c r="G825" s="3">
        <v>90908</v>
      </c>
    </row>
    <row r="826" spans="1:7">
      <c r="A826" s="3" t="s">
        <v>1021</v>
      </c>
      <c r="B826" s="3" t="s">
        <v>1001</v>
      </c>
      <c r="C826" s="3" t="s">
        <v>956</v>
      </c>
      <c r="D826" s="3" t="s">
        <v>1022</v>
      </c>
      <c r="E826" s="3">
        <v>3</v>
      </c>
      <c r="F826" s="3">
        <v>2</v>
      </c>
      <c r="G826" s="3">
        <v>151862</v>
      </c>
    </row>
    <row r="827" spans="1:7">
      <c r="A827" s="3" t="s">
        <v>1023</v>
      </c>
      <c r="B827" s="3" t="s">
        <v>1001</v>
      </c>
      <c r="C827" s="3" t="s">
        <v>956</v>
      </c>
      <c r="D827" s="3" t="s">
        <v>1004</v>
      </c>
      <c r="E827" s="3">
        <v>2</v>
      </c>
      <c r="F827" s="3">
        <v>1</v>
      </c>
      <c r="G827" s="3">
        <v>91405</v>
      </c>
    </row>
    <row r="828" spans="1:7">
      <c r="A828" s="3" t="s">
        <v>1024</v>
      </c>
      <c r="B828" s="3" t="s">
        <v>1001</v>
      </c>
      <c r="C828" s="3" t="s">
        <v>956</v>
      </c>
      <c r="D828" s="3" t="s">
        <v>1004</v>
      </c>
      <c r="E828" s="3">
        <v>2</v>
      </c>
      <c r="F828" s="3">
        <v>1</v>
      </c>
      <c r="G828" s="3">
        <v>100377</v>
      </c>
    </row>
    <row r="829" spans="1:7">
      <c r="A829" s="3" t="s">
        <v>1025</v>
      </c>
      <c r="B829" s="3" t="s">
        <v>1026</v>
      </c>
      <c r="C829" s="3" t="s">
        <v>956</v>
      </c>
      <c r="D829" s="3" t="s">
        <v>1027</v>
      </c>
      <c r="E829" s="3">
        <v>5</v>
      </c>
      <c r="F829" s="3">
        <v>2</v>
      </c>
      <c r="G829" s="3">
        <v>235980</v>
      </c>
    </row>
    <row r="830" spans="1:7">
      <c r="A830" s="3" t="s">
        <v>1028</v>
      </c>
      <c r="B830" s="3" t="s">
        <v>1026</v>
      </c>
      <c r="C830" s="3" t="s">
        <v>956</v>
      </c>
      <c r="D830" s="3" t="s">
        <v>1027</v>
      </c>
      <c r="E830" s="3">
        <v>2</v>
      </c>
      <c r="F830" s="3">
        <v>1</v>
      </c>
      <c r="G830" s="3">
        <v>71370</v>
      </c>
    </row>
    <row r="831" spans="1:7">
      <c r="A831" s="3" t="s">
        <v>1029</v>
      </c>
      <c r="B831" s="3" t="s">
        <v>1026</v>
      </c>
      <c r="C831" s="3" t="s">
        <v>956</v>
      </c>
      <c r="D831" s="3" t="s">
        <v>1027</v>
      </c>
      <c r="E831" s="3">
        <v>2</v>
      </c>
      <c r="F831" s="3">
        <v>1</v>
      </c>
      <c r="G831" s="3">
        <v>93870</v>
      </c>
    </row>
    <row r="832" spans="1:7">
      <c r="A832" s="3" t="s">
        <v>1030</v>
      </c>
      <c r="B832" s="3" t="s">
        <v>1026</v>
      </c>
      <c r="C832" s="3" t="s">
        <v>956</v>
      </c>
      <c r="D832" s="3" t="s">
        <v>1027</v>
      </c>
      <c r="E832" s="3">
        <v>3</v>
      </c>
      <c r="F832" s="3">
        <v>2</v>
      </c>
      <c r="G832" s="3">
        <v>146635</v>
      </c>
    </row>
    <row r="833" spans="1:7">
      <c r="A833" s="3" t="s">
        <v>1031</v>
      </c>
      <c r="B833" s="3" t="s">
        <v>1026</v>
      </c>
      <c r="C833" s="3" t="s">
        <v>956</v>
      </c>
      <c r="D833" s="3" t="s">
        <v>1027</v>
      </c>
      <c r="E833" s="3">
        <v>5</v>
      </c>
      <c r="F833" s="3">
        <v>4</v>
      </c>
      <c r="G833" s="3">
        <v>278687</v>
      </c>
    </row>
    <row r="834" spans="1:7">
      <c r="A834" s="3" t="s">
        <v>1032</v>
      </c>
      <c r="B834" s="3" t="s">
        <v>1026</v>
      </c>
      <c r="C834" s="3" t="s">
        <v>956</v>
      </c>
      <c r="D834" s="3" t="s">
        <v>1027</v>
      </c>
      <c r="E834" s="3">
        <v>5</v>
      </c>
      <c r="F834" s="3">
        <v>3</v>
      </c>
      <c r="G834" s="3">
        <v>242715</v>
      </c>
    </row>
    <row r="835" spans="1:7">
      <c r="A835" s="3" t="s">
        <v>1033</v>
      </c>
      <c r="B835" s="3" t="s">
        <v>1026</v>
      </c>
      <c r="C835" s="3" t="s">
        <v>956</v>
      </c>
      <c r="D835" s="3" t="s">
        <v>1027</v>
      </c>
      <c r="E835" s="3">
        <v>2</v>
      </c>
      <c r="F835" s="3">
        <v>2</v>
      </c>
      <c r="G835" s="3">
        <v>101012</v>
      </c>
    </row>
    <row r="836" spans="1:7">
      <c r="A836" s="3" t="s">
        <v>1034</v>
      </c>
      <c r="B836" s="3" t="s">
        <v>1035</v>
      </c>
      <c r="C836" s="4" t="s">
        <v>1036</v>
      </c>
      <c r="D836" s="3" t="s">
        <v>1037</v>
      </c>
      <c r="E836" s="3">
        <v>4</v>
      </c>
      <c r="F836" s="3">
        <v>2</v>
      </c>
      <c r="G836" s="3">
        <v>180076</v>
      </c>
    </row>
    <row r="837" spans="1:7">
      <c r="A837" s="3" t="s">
        <v>1038</v>
      </c>
      <c r="B837" s="3" t="s">
        <v>1039</v>
      </c>
      <c r="C837" s="4" t="s">
        <v>1036</v>
      </c>
      <c r="D837" s="3" t="s">
        <v>1040</v>
      </c>
      <c r="E837" s="3">
        <v>4</v>
      </c>
      <c r="F837" s="3">
        <v>2</v>
      </c>
      <c r="G837" s="3">
        <v>170184</v>
      </c>
    </row>
    <row r="838" spans="1:7">
      <c r="A838" s="3" t="s">
        <v>1041</v>
      </c>
      <c r="B838" s="3" t="s">
        <v>1042</v>
      </c>
      <c r="C838" s="4" t="s">
        <v>1036</v>
      </c>
      <c r="D838" s="3" t="s">
        <v>1043</v>
      </c>
      <c r="E838" s="3">
        <v>5</v>
      </c>
      <c r="F838" s="3">
        <v>1</v>
      </c>
      <c r="G838" s="3">
        <v>168289</v>
      </c>
    </row>
    <row r="839" spans="1:7">
      <c r="A839" s="3" t="s">
        <v>1044</v>
      </c>
      <c r="B839" s="3" t="s">
        <v>1045</v>
      </c>
      <c r="C839" s="4" t="s">
        <v>1036</v>
      </c>
      <c r="D839" s="3" t="s">
        <v>1046</v>
      </c>
      <c r="E839" s="3">
        <v>4</v>
      </c>
      <c r="F839" s="3">
        <v>2</v>
      </c>
      <c r="G839" s="3">
        <v>180310</v>
      </c>
    </row>
    <row r="840" spans="1:7">
      <c r="A840" s="3" t="s">
        <v>1047</v>
      </c>
      <c r="B840" s="3" t="s">
        <v>1048</v>
      </c>
      <c r="C840" s="4" t="s">
        <v>1036</v>
      </c>
      <c r="D840" s="3" t="s">
        <v>1049</v>
      </c>
      <c r="E840" s="3">
        <v>2</v>
      </c>
      <c r="F840" s="3">
        <v>1</v>
      </c>
      <c r="G840" s="3">
        <v>72589</v>
      </c>
    </row>
    <row r="841" spans="1:7">
      <c r="A841" s="3" t="s">
        <v>1050</v>
      </c>
      <c r="B841" s="3" t="s">
        <v>1051</v>
      </c>
      <c r="C841" s="3" t="s">
        <v>1052</v>
      </c>
      <c r="D841" s="3" t="s">
        <v>1053</v>
      </c>
      <c r="E841" s="3">
        <v>5</v>
      </c>
      <c r="F841" s="3">
        <v>2</v>
      </c>
      <c r="G841" s="3">
        <v>222304</v>
      </c>
    </row>
    <row r="842" spans="1:7">
      <c r="A842" s="3" t="s">
        <v>1054</v>
      </c>
      <c r="B842" s="3" t="s">
        <v>1055</v>
      </c>
      <c r="C842" s="3" t="s">
        <v>1052</v>
      </c>
      <c r="D842" s="3" t="s">
        <v>1056</v>
      </c>
      <c r="E842" s="3">
        <v>3</v>
      </c>
      <c r="F842" s="3">
        <v>1</v>
      </c>
      <c r="G842" s="3">
        <v>125813</v>
      </c>
    </row>
    <row r="843" spans="1:7">
      <c r="A843" s="3" t="s">
        <v>1057</v>
      </c>
      <c r="B843" s="3" t="s">
        <v>1058</v>
      </c>
      <c r="C843" s="3" t="s">
        <v>1059</v>
      </c>
      <c r="D843" s="3" t="s">
        <v>1060</v>
      </c>
      <c r="E843" s="3">
        <v>2</v>
      </c>
      <c r="F843" s="3">
        <v>2</v>
      </c>
      <c r="G843" s="3">
        <v>96788</v>
      </c>
    </row>
    <row r="844" spans="1:7">
      <c r="A844" s="3" t="s">
        <v>1061</v>
      </c>
      <c r="B844" s="3" t="s">
        <v>1062</v>
      </c>
      <c r="C844" s="3" t="s">
        <v>1059</v>
      </c>
      <c r="D844" s="3" t="s">
        <v>1063</v>
      </c>
      <c r="E844" s="3">
        <v>3</v>
      </c>
      <c r="F844" s="3">
        <v>3</v>
      </c>
      <c r="G844" s="3">
        <v>154359</v>
      </c>
    </row>
    <row r="845" spans="1:7">
      <c r="A845" s="3" t="s">
        <v>1064</v>
      </c>
      <c r="B845" s="3" t="s">
        <v>1062</v>
      </c>
      <c r="C845" s="3" t="s">
        <v>1059</v>
      </c>
      <c r="D845" s="3" t="s">
        <v>1065</v>
      </c>
      <c r="E845" s="3">
        <v>4</v>
      </c>
      <c r="F845" s="3">
        <v>2</v>
      </c>
      <c r="G845" s="3">
        <v>167400</v>
      </c>
    </row>
    <row r="846" spans="1:7">
      <c r="A846" s="3" t="s">
        <v>1066</v>
      </c>
      <c r="B846" s="3" t="s">
        <v>1062</v>
      </c>
      <c r="C846" s="3" t="s">
        <v>1059</v>
      </c>
      <c r="D846" s="3" t="s">
        <v>1067</v>
      </c>
      <c r="E846" s="3">
        <v>2</v>
      </c>
      <c r="F846" s="3">
        <v>2</v>
      </c>
      <c r="G846" s="3">
        <v>96154</v>
      </c>
    </row>
    <row r="847" spans="1:7">
      <c r="A847" s="3" t="s">
        <v>1068</v>
      </c>
      <c r="B847" s="3" t="s">
        <v>1069</v>
      </c>
      <c r="C847" s="3" t="s">
        <v>1059</v>
      </c>
      <c r="D847" s="3" t="s">
        <v>1070</v>
      </c>
      <c r="E847" s="3">
        <v>5</v>
      </c>
      <c r="F847" s="3">
        <v>1</v>
      </c>
      <c r="G847" s="3">
        <v>209678</v>
      </c>
    </row>
    <row r="848" spans="1:7">
      <c r="A848" s="3" t="s">
        <v>1071</v>
      </c>
      <c r="B848" s="3" t="s">
        <v>1072</v>
      </c>
      <c r="C848" s="3" t="s">
        <v>1073</v>
      </c>
      <c r="D848" s="3" t="s">
        <v>1074</v>
      </c>
      <c r="E848" s="3">
        <v>4</v>
      </c>
      <c r="F848" s="3">
        <v>3</v>
      </c>
      <c r="G848" s="3">
        <v>194825</v>
      </c>
    </row>
    <row r="849" spans="1:7">
      <c r="A849" s="3" t="s">
        <v>1075</v>
      </c>
      <c r="B849" s="3" t="s">
        <v>1072</v>
      </c>
      <c r="C849" s="3" t="s">
        <v>1073</v>
      </c>
      <c r="D849" s="3" t="s">
        <v>1076</v>
      </c>
      <c r="E849" s="3">
        <v>3</v>
      </c>
      <c r="F849" s="3">
        <v>1</v>
      </c>
      <c r="G849" s="3">
        <v>129462</v>
      </c>
    </row>
    <row r="850" spans="1:7">
      <c r="A850" s="3" t="s">
        <v>1077</v>
      </c>
      <c r="B850" s="3" t="s">
        <v>1072</v>
      </c>
      <c r="C850" s="3" t="s">
        <v>1073</v>
      </c>
      <c r="D850" s="3" t="s">
        <v>1078</v>
      </c>
      <c r="E850" s="3">
        <v>5</v>
      </c>
      <c r="F850" s="3">
        <v>4</v>
      </c>
      <c r="G850" s="3">
        <v>242224</v>
      </c>
    </row>
    <row r="851" spans="1:7">
      <c r="A851" s="3" t="s">
        <v>1079</v>
      </c>
      <c r="B851" s="3" t="s">
        <v>1080</v>
      </c>
      <c r="C851" s="3" t="s">
        <v>1073</v>
      </c>
      <c r="D851" s="3" t="s">
        <v>1081</v>
      </c>
      <c r="E851" s="3">
        <v>3</v>
      </c>
      <c r="F851" s="3">
        <v>3</v>
      </c>
      <c r="G851" s="3">
        <v>177705</v>
      </c>
    </row>
    <row r="852" spans="1:7">
      <c r="A852" s="3" t="s">
        <v>1082</v>
      </c>
      <c r="B852" s="3" t="s">
        <v>1083</v>
      </c>
      <c r="C852" s="3" t="s">
        <v>1084</v>
      </c>
      <c r="D852" s="3" t="s">
        <v>1085</v>
      </c>
      <c r="E852" s="3">
        <v>4</v>
      </c>
      <c r="F852" s="3">
        <v>1</v>
      </c>
      <c r="G852" s="3">
        <v>156319</v>
      </c>
    </row>
    <row r="853" spans="1:7">
      <c r="A853" s="3" t="s">
        <v>1086</v>
      </c>
      <c r="B853" s="3" t="s">
        <v>1087</v>
      </c>
      <c r="C853" s="3" t="s">
        <v>1084</v>
      </c>
      <c r="D853" s="3" t="s">
        <v>1088</v>
      </c>
      <c r="E853" s="3">
        <v>3</v>
      </c>
      <c r="F853" s="3">
        <v>1</v>
      </c>
      <c r="G853" s="3">
        <v>96343</v>
      </c>
    </row>
    <row r="854" spans="1:7">
      <c r="A854" s="3" t="s">
        <v>1089</v>
      </c>
      <c r="B854" s="3" t="s">
        <v>1090</v>
      </c>
      <c r="C854" s="3" t="s">
        <v>1084</v>
      </c>
      <c r="D854" s="3" t="s">
        <v>1091</v>
      </c>
      <c r="E854" s="3">
        <v>5</v>
      </c>
      <c r="F854" s="3">
        <v>1</v>
      </c>
      <c r="G854" s="3">
        <v>188049</v>
      </c>
    </row>
    <row r="855" spans="1:7">
      <c r="A855" s="3" t="s">
        <v>1092</v>
      </c>
      <c r="B855" s="3" t="s">
        <v>1093</v>
      </c>
      <c r="C855" s="3" t="s">
        <v>1084</v>
      </c>
      <c r="D855" s="3" t="s">
        <v>1094</v>
      </c>
      <c r="E855" s="3">
        <v>5</v>
      </c>
      <c r="F855" s="3">
        <v>4</v>
      </c>
      <c r="G855" s="3">
        <v>241545</v>
      </c>
    </row>
    <row r="856" spans="1:7">
      <c r="A856" s="3" t="s">
        <v>1095</v>
      </c>
      <c r="B856" s="3" t="s">
        <v>1096</v>
      </c>
      <c r="C856" s="3" t="s">
        <v>1097</v>
      </c>
      <c r="D856" s="3" t="s">
        <v>1098</v>
      </c>
      <c r="E856" s="3">
        <v>5</v>
      </c>
      <c r="F856" s="3">
        <v>5</v>
      </c>
      <c r="G856" s="3">
        <v>300060</v>
      </c>
    </row>
    <row r="857" spans="1:7">
      <c r="A857" s="3" t="s">
        <v>1099</v>
      </c>
      <c r="B857" s="3" t="s">
        <v>1096</v>
      </c>
      <c r="C857" s="3" t="s">
        <v>1097</v>
      </c>
      <c r="D857" s="3" t="s">
        <v>1100</v>
      </c>
      <c r="E857" s="3">
        <v>4</v>
      </c>
      <c r="F857" s="3">
        <v>4</v>
      </c>
      <c r="G857" s="3">
        <v>212352</v>
      </c>
    </row>
    <row r="858" spans="1:7">
      <c r="A858" s="3" t="s">
        <v>1101</v>
      </c>
      <c r="B858" s="3" t="s">
        <v>1102</v>
      </c>
      <c r="C858" s="3" t="s">
        <v>1103</v>
      </c>
      <c r="D858" s="3" t="s">
        <v>1104</v>
      </c>
      <c r="E858" s="3">
        <v>5</v>
      </c>
      <c r="F858" s="3">
        <v>4</v>
      </c>
      <c r="G858" s="3">
        <v>239370</v>
      </c>
    </row>
    <row r="859" spans="1:7">
      <c r="A859" s="3" t="s">
        <v>1105</v>
      </c>
      <c r="B859" s="3" t="s">
        <v>1102</v>
      </c>
      <c r="C859" s="3" t="s">
        <v>1103</v>
      </c>
      <c r="D859" s="3" t="s">
        <v>1106</v>
      </c>
      <c r="E859" s="3">
        <v>3</v>
      </c>
      <c r="F859" s="3">
        <v>1</v>
      </c>
      <c r="G859" s="3">
        <v>122932</v>
      </c>
    </row>
    <row r="860" spans="1:7">
      <c r="A860" s="3" t="s">
        <v>1107</v>
      </c>
      <c r="B860" s="3" t="s">
        <v>1108</v>
      </c>
      <c r="C860" s="3" t="s">
        <v>1036</v>
      </c>
      <c r="D860" s="3" t="s">
        <v>1109</v>
      </c>
      <c r="E860" s="3">
        <v>4</v>
      </c>
      <c r="F860" s="3">
        <v>1</v>
      </c>
      <c r="G860" s="3">
        <v>172038</v>
      </c>
    </row>
    <row r="861" spans="1:7">
      <c r="A861" s="3" t="s">
        <v>1110</v>
      </c>
      <c r="B861" s="3" t="s">
        <v>1108</v>
      </c>
      <c r="C861" s="3" t="s">
        <v>1036</v>
      </c>
      <c r="D861" s="3" t="s">
        <v>1111</v>
      </c>
      <c r="E861" s="3">
        <v>3</v>
      </c>
      <c r="F861" s="3">
        <v>3</v>
      </c>
      <c r="G861" s="3">
        <v>161409</v>
      </c>
    </row>
    <row r="862" spans="1:7">
      <c r="A862" s="3" t="s">
        <v>1112</v>
      </c>
      <c r="B862" s="3" t="s">
        <v>1113</v>
      </c>
      <c r="C862" s="3" t="s">
        <v>1114</v>
      </c>
      <c r="D862" s="3" t="s">
        <v>1115</v>
      </c>
      <c r="E862" s="3">
        <v>4</v>
      </c>
      <c r="F862" s="3">
        <v>2</v>
      </c>
      <c r="G862" s="3">
        <v>163466</v>
      </c>
    </row>
    <row r="863" spans="1:7">
      <c r="A863" s="3" t="s">
        <v>1116</v>
      </c>
      <c r="B863" s="3" t="s">
        <v>1117</v>
      </c>
      <c r="C863" s="3" t="s">
        <v>1114</v>
      </c>
      <c r="D863" s="3" t="s">
        <v>1118</v>
      </c>
      <c r="E863" s="3">
        <v>4</v>
      </c>
      <c r="F863" s="3">
        <v>1</v>
      </c>
      <c r="G863" s="3">
        <v>120324</v>
      </c>
    </row>
    <row r="864" spans="1:7">
      <c r="A864" s="3" t="s">
        <v>1119</v>
      </c>
      <c r="B864" s="3" t="s">
        <v>1120</v>
      </c>
      <c r="C864" s="3" t="s">
        <v>1114</v>
      </c>
      <c r="D864" s="3" t="s">
        <v>1121</v>
      </c>
      <c r="E864" s="3">
        <v>4</v>
      </c>
      <c r="F864" s="3">
        <v>4</v>
      </c>
      <c r="G864" s="3">
        <v>237276</v>
      </c>
    </row>
    <row r="865" spans="1:7">
      <c r="A865" s="3" t="s">
        <v>1122</v>
      </c>
      <c r="B865" s="3" t="s">
        <v>1123</v>
      </c>
      <c r="C865" s="3" t="s">
        <v>1114</v>
      </c>
      <c r="D865" s="3" t="s">
        <v>1124</v>
      </c>
      <c r="E865" s="3">
        <v>3</v>
      </c>
      <c r="F865" s="3">
        <v>3</v>
      </c>
      <c r="G865" s="3">
        <v>162327</v>
      </c>
    </row>
    <row r="866" spans="1:7">
      <c r="A866" s="3" t="s">
        <v>1125</v>
      </c>
      <c r="B866" s="3" t="s">
        <v>1126</v>
      </c>
      <c r="C866" s="3" t="s">
        <v>1052</v>
      </c>
      <c r="D866" s="3" t="s">
        <v>1127</v>
      </c>
      <c r="E866" s="3">
        <v>5</v>
      </c>
      <c r="F866" s="3">
        <v>1</v>
      </c>
      <c r="G866" s="3">
        <v>172609</v>
      </c>
    </row>
    <row r="867" spans="1:7">
      <c r="A867" s="3" t="s">
        <v>1128</v>
      </c>
      <c r="B867" s="3" t="s">
        <v>1129</v>
      </c>
      <c r="C867" s="3" t="s">
        <v>1052</v>
      </c>
      <c r="D867" s="3" t="s">
        <v>1130</v>
      </c>
      <c r="E867" s="3">
        <v>4</v>
      </c>
      <c r="F867" s="3">
        <v>3</v>
      </c>
      <c r="G867" s="3">
        <v>195840</v>
      </c>
    </row>
    <row r="868" spans="1:7">
      <c r="A868" s="3" t="s">
        <v>1131</v>
      </c>
      <c r="B868" s="3" t="s">
        <v>1132</v>
      </c>
      <c r="C868" s="3" t="s">
        <v>1133</v>
      </c>
      <c r="D868" s="3" t="s">
        <v>1134</v>
      </c>
      <c r="E868" s="3">
        <v>5</v>
      </c>
      <c r="F868" s="3">
        <v>5</v>
      </c>
      <c r="G868" s="3">
        <v>291255</v>
      </c>
    </row>
    <row r="869" spans="1:7">
      <c r="A869" s="3" t="s">
        <v>1135</v>
      </c>
      <c r="B869" s="3" t="s">
        <v>1136</v>
      </c>
      <c r="C869" s="3" t="s">
        <v>1137</v>
      </c>
      <c r="D869" s="3" t="s">
        <v>1138</v>
      </c>
      <c r="E869" s="3">
        <v>3</v>
      </c>
      <c r="F869" s="3">
        <v>3</v>
      </c>
      <c r="G869" s="3">
        <v>155718</v>
      </c>
    </row>
    <row r="870" spans="1:7">
      <c r="A870" s="3" t="s">
        <v>1139</v>
      </c>
      <c r="B870" s="3" t="s">
        <v>1140</v>
      </c>
      <c r="C870" s="3" t="s">
        <v>1141</v>
      </c>
      <c r="D870" s="3" t="s">
        <v>1142</v>
      </c>
      <c r="E870" s="3">
        <v>5</v>
      </c>
      <c r="F870" s="3">
        <v>1</v>
      </c>
      <c r="G870" s="3">
        <v>205084</v>
      </c>
    </row>
    <row r="871" spans="1:7">
      <c r="A871" s="3" t="s">
        <v>1143</v>
      </c>
      <c r="B871" s="3" t="s">
        <v>1069</v>
      </c>
      <c r="C871" s="3" t="s">
        <v>1141</v>
      </c>
      <c r="D871" s="3" t="s">
        <v>1144</v>
      </c>
      <c r="E871" s="3">
        <v>5</v>
      </c>
      <c r="F871" s="3">
        <v>4</v>
      </c>
      <c r="G871" s="3">
        <v>277347</v>
      </c>
    </row>
    <row r="872" spans="1:7">
      <c r="A872" s="3" t="s">
        <v>1145</v>
      </c>
      <c r="B872" s="3" t="s">
        <v>1146</v>
      </c>
      <c r="C872" s="3" t="s">
        <v>1141</v>
      </c>
      <c r="D872" s="3" t="s">
        <v>1147</v>
      </c>
      <c r="E872" s="3">
        <v>5</v>
      </c>
      <c r="F872" s="3">
        <v>2</v>
      </c>
      <c r="G872" s="3">
        <v>211072</v>
      </c>
    </row>
    <row r="873" spans="1:7">
      <c r="A873" s="3" t="s">
        <v>1148</v>
      </c>
      <c r="B873" s="3" t="s">
        <v>1149</v>
      </c>
      <c r="C873" s="3" t="s">
        <v>1141</v>
      </c>
      <c r="D873" s="3" t="s">
        <v>1150</v>
      </c>
      <c r="E873" s="3">
        <v>2</v>
      </c>
      <c r="F873" s="3">
        <v>2</v>
      </c>
      <c r="G873" s="3">
        <v>93584</v>
      </c>
    </row>
    <row r="874" spans="1:7">
      <c r="A874" s="3" t="s">
        <v>1151</v>
      </c>
      <c r="B874" s="3" t="s">
        <v>1152</v>
      </c>
      <c r="C874" s="3" t="s">
        <v>1153</v>
      </c>
      <c r="D874" s="3" t="s">
        <v>1154</v>
      </c>
      <c r="E874" s="3">
        <v>4</v>
      </c>
      <c r="F874" s="3">
        <v>4</v>
      </c>
      <c r="G874" s="3">
        <v>241880</v>
      </c>
    </row>
    <row r="875" spans="1:7">
      <c r="A875" s="3" t="s">
        <v>1155</v>
      </c>
      <c r="B875" s="3" t="s">
        <v>1156</v>
      </c>
      <c r="C875" s="3" t="s">
        <v>1157</v>
      </c>
      <c r="D875" s="3" t="s">
        <v>1158</v>
      </c>
      <c r="E875" s="3">
        <v>2</v>
      </c>
      <c r="F875" s="3">
        <v>2</v>
      </c>
      <c r="G875" s="3">
        <v>96436</v>
      </c>
    </row>
    <row r="876" spans="1:7">
      <c r="A876" s="3" t="s">
        <v>1159</v>
      </c>
      <c r="B876" s="3" t="s">
        <v>593</v>
      </c>
      <c r="C876" s="3" t="s">
        <v>1157</v>
      </c>
      <c r="D876" s="3" t="s">
        <v>1160</v>
      </c>
      <c r="E876" s="3">
        <v>2</v>
      </c>
      <c r="F876" s="3">
        <v>1</v>
      </c>
      <c r="G876" s="3">
        <v>81720</v>
      </c>
    </row>
    <row r="877" spans="1:7">
      <c r="A877" s="3" t="s">
        <v>1161</v>
      </c>
      <c r="B877" s="3" t="s">
        <v>1162</v>
      </c>
      <c r="C877" s="3" t="s">
        <v>1163</v>
      </c>
      <c r="D877" s="3" t="s">
        <v>1164</v>
      </c>
      <c r="E877" s="3">
        <v>2</v>
      </c>
      <c r="F877" s="3">
        <v>1</v>
      </c>
      <c r="G877" s="3">
        <v>76871</v>
      </c>
    </row>
  </sheetData>
  <phoneticPr fontId="2" type="noConversion"/>
  <pageMargins left="0.75" right="0.75" top="1" bottom="1" header="0.5" footer="0.5"/>
  <pageSetup orientation="portrait"/>
  <headerFooter alignWithMargins="0"/>
  <ignoredErrors>
    <ignoredError sqref="D878:D65526" numberStoredAsText="1"/>
  </ignoredErrors>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IntroductionToPivotTables</vt:lpstr>
      <vt:lpstr>BuildAPivot</vt:lpstr>
      <vt:lpstr>PivotFormatting</vt:lpstr>
      <vt:lpstr>PivotFormatting (3)</vt:lpstr>
      <vt:lpstr>ValueFieldSettings</vt:lpstr>
      <vt:lpstr>UpdateData</vt:lpstr>
      <vt:lpstr>BakerySales</vt:lpstr>
      <vt:lpstr>Bakery Shop</vt:lpstr>
      <vt:lpstr>Bakery Partial</vt:lpstr>
      <vt:lpstr>TotalsAndSubtotals</vt:lpstr>
      <vt:lpstr>MultipleDataPoints</vt:lpstr>
      <vt:lpstr>SlicersAndTimelines</vt:lpstr>
      <vt:lpstr>SlicersAndTimelines_Dashboard</vt:lpstr>
      <vt:lpstr>ConditionalFormatting</vt:lpstr>
      <vt:lpstr>ConditionalFormatting (2)</vt:lpstr>
      <vt:lpstr>TableCalculations</vt:lpstr>
      <vt:lpstr>Menu</vt:lpstr>
      <vt:lpstr>NorthwindTraders</vt:lpstr>
      <vt:lpstr>Sheet9</vt:lpstr>
      <vt:lpstr>Data_ListOfHomes</vt:lpstr>
      <vt:lpstr>tNorthwindTraders</vt:lpstr>
    </vt:vector>
  </TitlesOfParts>
  <Manager/>
  <Company>Personal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Tom Hinkle</dc:creator>
  <cp:keywords/>
  <dc:description/>
  <cp:lastModifiedBy>Thomas Hinkle</cp:lastModifiedBy>
  <cp:revision/>
  <dcterms:created xsi:type="dcterms:W3CDTF">2009-11-10T01:46:29Z</dcterms:created>
  <dcterms:modified xsi:type="dcterms:W3CDTF">2023-09-16T16:51:52Z</dcterms:modified>
  <cp:category/>
  <cp:contentStatus/>
</cp:coreProperties>
</file>